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fischer/Documents/NTU_research/QChem/BA_basis_set_test/basis_set_test/"/>
    </mc:Choice>
  </mc:AlternateContent>
  <xr:revisionPtr revIDLastSave="0" documentId="8_{5BF3ED2F-8656-A040-B281-11C986935F17}" xr6:coauthVersionLast="47" xr6:coauthVersionMax="47" xr10:uidLastSave="{00000000-0000-0000-0000-000000000000}"/>
  <bookViews>
    <workbookView xWindow="3900" yWindow="500" windowWidth="21000" windowHeight="16220" xr2:uid="{B316EED2-82F9-9741-BF6A-9BB7F964BA9A}"/>
  </bookViews>
  <sheets>
    <sheet name="copy_basis_test_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9" i="1" l="1"/>
  <c r="D27" i="1"/>
  <c r="D45" i="1" s="1"/>
  <c r="D84" i="1" s="1"/>
  <c r="D26" i="1"/>
  <c r="D44" i="1" s="1"/>
  <c r="D68" i="1" s="1"/>
  <c r="E26" i="1"/>
  <c r="E44" i="1" s="1"/>
  <c r="D69" i="1" s="1"/>
  <c r="E27" i="1"/>
  <c r="E45" i="1" s="1"/>
  <c r="D85" i="1" s="1"/>
  <c r="F27" i="1"/>
  <c r="F45" i="1" s="1"/>
  <c r="D86" i="1" s="1"/>
  <c r="H44" i="1"/>
  <c r="H45" i="1"/>
  <c r="H47" i="1"/>
  <c r="H48" i="1"/>
  <c r="E49" i="1"/>
  <c r="F49" i="1"/>
  <c r="G49" i="1"/>
  <c r="H49" i="1"/>
  <c r="I49" i="1"/>
  <c r="J49" i="1"/>
  <c r="K49" i="1"/>
  <c r="L49" i="1"/>
  <c r="H50" i="1"/>
  <c r="H51" i="1"/>
  <c r="E52" i="1"/>
  <c r="F52" i="1"/>
  <c r="G52" i="1"/>
  <c r="H52" i="1"/>
  <c r="I52" i="1"/>
  <c r="J52" i="1"/>
  <c r="K52" i="1"/>
  <c r="L52" i="1"/>
  <c r="H53" i="1"/>
  <c r="H54" i="1"/>
  <c r="E55" i="1"/>
  <c r="F55" i="1"/>
  <c r="G55" i="1"/>
  <c r="H55" i="1"/>
  <c r="I55" i="1"/>
  <c r="J55" i="1"/>
  <c r="K55" i="1"/>
  <c r="L55" i="1"/>
  <c r="H56" i="1"/>
  <c r="H57" i="1"/>
  <c r="E58" i="1"/>
  <c r="F58" i="1"/>
  <c r="G58" i="1"/>
  <c r="H58" i="1"/>
  <c r="I58" i="1"/>
  <c r="J58" i="1"/>
  <c r="K58" i="1"/>
  <c r="L58" i="1"/>
  <c r="H59" i="1"/>
  <c r="H60" i="1"/>
  <c r="E41" i="1"/>
  <c r="E59" i="1" s="1"/>
  <c r="I69" i="1" s="1"/>
  <c r="F41" i="1"/>
  <c r="F59" i="1" s="1"/>
  <c r="I70" i="1" s="1"/>
  <c r="G41" i="1"/>
  <c r="G59" i="1" s="1"/>
  <c r="I71" i="1" s="1"/>
  <c r="I41" i="1"/>
  <c r="I59" i="1" s="1"/>
  <c r="I64" i="1" s="1"/>
  <c r="J41" i="1"/>
  <c r="J59" i="1" s="1"/>
  <c r="I65" i="1" s="1"/>
  <c r="K41" i="1"/>
  <c r="K59" i="1" s="1"/>
  <c r="I66" i="1" s="1"/>
  <c r="L41" i="1"/>
  <c r="L59" i="1" s="1"/>
  <c r="I67" i="1" s="1"/>
  <c r="D41" i="1"/>
  <c r="D59" i="1" s="1"/>
  <c r="I68" i="1" s="1"/>
  <c r="D49" i="1"/>
  <c r="D52" i="1"/>
  <c r="D55" i="1"/>
  <c r="D58" i="1"/>
  <c r="E38" i="1"/>
  <c r="E56" i="1" s="1"/>
  <c r="H69" i="1" s="1"/>
  <c r="F38" i="1"/>
  <c r="F56" i="1" s="1"/>
  <c r="H70" i="1" s="1"/>
  <c r="G38" i="1"/>
  <c r="G56" i="1" s="1"/>
  <c r="H71" i="1" s="1"/>
  <c r="I38" i="1"/>
  <c r="I56" i="1" s="1"/>
  <c r="H64" i="1" s="1"/>
  <c r="J38" i="1"/>
  <c r="J56" i="1" s="1"/>
  <c r="H65" i="1" s="1"/>
  <c r="K38" i="1"/>
  <c r="K56" i="1" s="1"/>
  <c r="H66" i="1" s="1"/>
  <c r="L38" i="1"/>
  <c r="L56" i="1" s="1"/>
  <c r="H67" i="1" s="1"/>
  <c r="E39" i="1"/>
  <c r="E57" i="1" s="1"/>
  <c r="H85" i="1" s="1"/>
  <c r="F39" i="1"/>
  <c r="F57" i="1" s="1"/>
  <c r="H86" i="1" s="1"/>
  <c r="G39" i="1"/>
  <c r="G57" i="1" s="1"/>
  <c r="H87" i="1" s="1"/>
  <c r="I39" i="1"/>
  <c r="I57" i="1" s="1"/>
  <c r="H80" i="1" s="1"/>
  <c r="J39" i="1"/>
  <c r="J57" i="1" s="1"/>
  <c r="H81" i="1" s="1"/>
  <c r="K39" i="1"/>
  <c r="K57" i="1" s="1"/>
  <c r="H82" i="1" s="1"/>
  <c r="L39" i="1"/>
  <c r="L57" i="1" s="1"/>
  <c r="H83" i="1" s="1"/>
  <c r="E42" i="1"/>
  <c r="E60" i="1" s="1"/>
  <c r="I85" i="1" s="1"/>
  <c r="F42" i="1"/>
  <c r="F60" i="1" s="1"/>
  <c r="I86" i="1" s="1"/>
  <c r="G42" i="1"/>
  <c r="G60" i="1" s="1"/>
  <c r="I87" i="1" s="1"/>
  <c r="I42" i="1"/>
  <c r="I60" i="1" s="1"/>
  <c r="I80" i="1" s="1"/>
  <c r="J42" i="1"/>
  <c r="J60" i="1" s="1"/>
  <c r="I81" i="1" s="1"/>
  <c r="K42" i="1"/>
  <c r="K60" i="1" s="1"/>
  <c r="I82" i="1" s="1"/>
  <c r="L42" i="1"/>
  <c r="L60" i="1" s="1"/>
  <c r="I83" i="1" s="1"/>
  <c r="D42" i="1"/>
  <c r="D60" i="1" s="1"/>
  <c r="I84" i="1" s="1"/>
  <c r="D39" i="1"/>
  <c r="D57" i="1" s="1"/>
  <c r="H84" i="1" s="1"/>
  <c r="D38" i="1"/>
  <c r="D56" i="1" s="1"/>
  <c r="H68" i="1" s="1"/>
  <c r="E35" i="1"/>
  <c r="E53" i="1" s="1"/>
  <c r="G69" i="1" s="1"/>
  <c r="F35" i="1"/>
  <c r="F53" i="1" s="1"/>
  <c r="G70" i="1" s="1"/>
  <c r="G35" i="1"/>
  <c r="G53" i="1" s="1"/>
  <c r="G71" i="1" s="1"/>
  <c r="I35" i="1"/>
  <c r="I53" i="1" s="1"/>
  <c r="G64" i="1" s="1"/>
  <c r="J35" i="1"/>
  <c r="J53" i="1" s="1"/>
  <c r="G65" i="1" s="1"/>
  <c r="K35" i="1"/>
  <c r="K53" i="1" s="1"/>
  <c r="G66" i="1" s="1"/>
  <c r="L35" i="1"/>
  <c r="L53" i="1" s="1"/>
  <c r="G67" i="1" s="1"/>
  <c r="E36" i="1"/>
  <c r="E54" i="1" s="1"/>
  <c r="G85" i="1" s="1"/>
  <c r="F36" i="1"/>
  <c r="F54" i="1" s="1"/>
  <c r="G86" i="1" s="1"/>
  <c r="G36" i="1"/>
  <c r="G54" i="1" s="1"/>
  <c r="G87" i="1" s="1"/>
  <c r="I36" i="1"/>
  <c r="I54" i="1" s="1"/>
  <c r="G80" i="1" s="1"/>
  <c r="J36" i="1"/>
  <c r="J54" i="1" s="1"/>
  <c r="G81" i="1" s="1"/>
  <c r="K36" i="1"/>
  <c r="K54" i="1" s="1"/>
  <c r="G82" i="1" s="1"/>
  <c r="L36" i="1"/>
  <c r="L54" i="1" s="1"/>
  <c r="G83" i="1" s="1"/>
  <c r="D36" i="1"/>
  <c r="D54" i="1" s="1"/>
  <c r="G84" i="1" s="1"/>
  <c r="D35" i="1"/>
  <c r="D53" i="1" s="1"/>
  <c r="G68" i="1" s="1"/>
  <c r="E32" i="1"/>
  <c r="E50" i="1" s="1"/>
  <c r="F69" i="1" s="1"/>
  <c r="F32" i="1"/>
  <c r="F50" i="1" s="1"/>
  <c r="F70" i="1" s="1"/>
  <c r="G32" i="1"/>
  <c r="G50" i="1" s="1"/>
  <c r="F71" i="1" s="1"/>
  <c r="I32" i="1"/>
  <c r="I50" i="1" s="1"/>
  <c r="F64" i="1" s="1"/>
  <c r="J32" i="1"/>
  <c r="J50" i="1" s="1"/>
  <c r="F65" i="1" s="1"/>
  <c r="K32" i="1"/>
  <c r="K50" i="1" s="1"/>
  <c r="F66" i="1" s="1"/>
  <c r="L32" i="1"/>
  <c r="L50" i="1" s="1"/>
  <c r="F67" i="1" s="1"/>
  <c r="E33" i="1"/>
  <c r="E51" i="1" s="1"/>
  <c r="F85" i="1" s="1"/>
  <c r="F33" i="1"/>
  <c r="F51" i="1" s="1"/>
  <c r="F86" i="1" s="1"/>
  <c r="G33" i="1"/>
  <c r="G51" i="1" s="1"/>
  <c r="F87" i="1" s="1"/>
  <c r="I33" i="1"/>
  <c r="I51" i="1" s="1"/>
  <c r="F80" i="1" s="1"/>
  <c r="J33" i="1"/>
  <c r="J51" i="1" s="1"/>
  <c r="F81" i="1" s="1"/>
  <c r="K33" i="1"/>
  <c r="K51" i="1" s="1"/>
  <c r="F82" i="1" s="1"/>
  <c r="L33" i="1"/>
  <c r="L51" i="1" s="1"/>
  <c r="F83" i="1" s="1"/>
  <c r="D33" i="1"/>
  <c r="D51" i="1" s="1"/>
  <c r="F84" i="1" s="1"/>
  <c r="D32" i="1"/>
  <c r="D50" i="1" s="1"/>
  <c r="F68" i="1" s="1"/>
  <c r="E30" i="1"/>
  <c r="E48" i="1" s="1"/>
  <c r="E85" i="1" s="1"/>
  <c r="F30" i="1"/>
  <c r="F48" i="1" s="1"/>
  <c r="E86" i="1" s="1"/>
  <c r="G30" i="1"/>
  <c r="G48" i="1" s="1"/>
  <c r="E87" i="1" s="1"/>
  <c r="I30" i="1"/>
  <c r="I48" i="1" s="1"/>
  <c r="E80" i="1" s="1"/>
  <c r="J30" i="1"/>
  <c r="J48" i="1" s="1"/>
  <c r="E81" i="1" s="1"/>
  <c r="K30" i="1"/>
  <c r="K48" i="1" s="1"/>
  <c r="E82" i="1" s="1"/>
  <c r="L30" i="1"/>
  <c r="L48" i="1" s="1"/>
  <c r="E83" i="1" s="1"/>
  <c r="D30" i="1"/>
  <c r="D48" i="1" s="1"/>
  <c r="E84" i="1" s="1"/>
  <c r="J29" i="1"/>
  <c r="J47" i="1" s="1"/>
  <c r="E65" i="1" s="1"/>
  <c r="K29" i="1"/>
  <c r="K47" i="1" s="1"/>
  <c r="E66" i="1" s="1"/>
  <c r="L29" i="1"/>
  <c r="L47" i="1" s="1"/>
  <c r="E67" i="1" s="1"/>
  <c r="I29" i="1"/>
  <c r="I47" i="1" s="1"/>
  <c r="E64" i="1" s="1"/>
  <c r="E29" i="1"/>
  <c r="E47" i="1" s="1"/>
  <c r="E69" i="1" s="1"/>
  <c r="F29" i="1"/>
  <c r="F47" i="1" s="1"/>
  <c r="E70" i="1" s="1"/>
  <c r="G29" i="1"/>
  <c r="G47" i="1" s="1"/>
  <c r="E71" i="1" s="1"/>
  <c r="D29" i="1"/>
  <c r="D47" i="1" s="1"/>
  <c r="E68" i="1" s="1"/>
  <c r="K27" i="1"/>
  <c r="K45" i="1" s="1"/>
  <c r="D82" i="1" s="1"/>
  <c r="K26" i="1"/>
  <c r="K44" i="1" s="1"/>
  <c r="D66" i="1" s="1"/>
  <c r="G27" i="1"/>
  <c r="G45" i="1" s="1"/>
  <c r="D87" i="1" s="1"/>
  <c r="I27" i="1"/>
  <c r="I45" i="1" s="1"/>
  <c r="D80" i="1" s="1"/>
  <c r="J27" i="1"/>
  <c r="J45" i="1" s="1"/>
  <c r="D81" i="1" s="1"/>
  <c r="L27" i="1"/>
  <c r="L45" i="1" s="1"/>
  <c r="D83" i="1" s="1"/>
  <c r="F26" i="1"/>
  <c r="F44" i="1" s="1"/>
  <c r="D70" i="1" s="1"/>
  <c r="G26" i="1"/>
  <c r="G44" i="1" s="1"/>
  <c r="D71" i="1" s="1"/>
  <c r="I26" i="1"/>
  <c r="I44" i="1" s="1"/>
  <c r="D64" i="1" s="1"/>
  <c r="J26" i="1"/>
  <c r="J44" i="1" s="1"/>
  <c r="D65" i="1" s="1"/>
  <c r="L26" i="1"/>
  <c r="L44" i="1" s="1"/>
  <c r="D67" i="1" s="1"/>
  <c r="F89" i="1" l="1"/>
  <c r="G89" i="1"/>
  <c r="F74" i="1"/>
  <c r="H90" i="1"/>
  <c r="D75" i="1"/>
  <c r="F75" i="1"/>
  <c r="H89" i="1"/>
  <c r="I75" i="1"/>
  <c r="G75" i="1"/>
  <c r="H75" i="1"/>
  <c r="F90" i="1"/>
  <c r="I90" i="1"/>
  <c r="G90" i="1"/>
  <c r="I74" i="1"/>
  <c r="E75" i="1"/>
  <c r="E89" i="1"/>
  <c r="G74" i="1"/>
  <c r="H74" i="1"/>
  <c r="E74" i="1"/>
  <c r="I89" i="1"/>
  <c r="D90" i="1"/>
  <c r="D74" i="1"/>
  <c r="K89" i="1" l="1"/>
  <c r="J75" i="1"/>
  <c r="J74" i="1"/>
  <c r="K75" i="1"/>
  <c r="K74" i="1"/>
  <c r="J90" i="1"/>
  <c r="K90" i="1"/>
  <c r="J89" i="1"/>
</calcChain>
</file>

<file path=xl/sharedStrings.xml><?xml version="1.0" encoding="utf-8"?>
<sst xmlns="http://schemas.openxmlformats.org/spreadsheetml/2006/main" count="185" uniqueCount="59">
  <si>
    <t>OH</t>
  </si>
  <si>
    <t>OOH</t>
  </si>
  <si>
    <t>O2</t>
  </si>
  <si>
    <t>HOP</t>
  </si>
  <si>
    <t>dioxo_hydroperoxy_pentenal_hydrate_oxyl</t>
  </si>
  <si>
    <t>butanal</t>
  </si>
  <si>
    <t>methyldiol_radical</t>
  </si>
  <si>
    <t>TS_OH_add_ortho</t>
  </si>
  <si>
    <t>pentenal_14_alpha_beta_O2m_add</t>
  </si>
  <si>
    <t>TS_pentenal_hydrate_O2m_add_14_no_H2O</t>
  </si>
  <si>
    <t>TS_pentanoxyl_frag</t>
  </si>
  <si>
    <t>benzyl_alcohol</t>
  </si>
  <si>
    <t>benzyl_alcohol_OH_add</t>
  </si>
  <si>
    <t>benzyl_alcohol_OH_O2_add</t>
  </si>
  <si>
    <t>benzyl_alcohol_ortho_bicycle</t>
  </si>
  <si>
    <t>O2m</t>
  </si>
  <si>
    <t>ortho_BA_subtitution</t>
  </si>
  <si>
    <t>Spec1</t>
  </si>
  <si>
    <t>Spec2</t>
  </si>
  <si>
    <t> </t>
  </si>
  <si>
    <t>Spec3</t>
  </si>
  <si>
    <t>Spec4</t>
  </si>
  <si>
    <t>Spec1_pop</t>
  </si>
  <si>
    <t>Spec2_pop</t>
  </si>
  <si>
    <t>Spec4_pop</t>
  </si>
  <si>
    <t>rxn 1</t>
  </si>
  <si>
    <t>rxn 2</t>
  </si>
  <si>
    <t>rxn 4</t>
  </si>
  <si>
    <t>rxn 3</t>
  </si>
  <si>
    <t>Spec3_pop</t>
  </si>
  <si>
    <t>rxn 5</t>
  </si>
  <si>
    <t>rxn 6</t>
  </si>
  <si>
    <t>kJ mol</t>
  </si>
  <si>
    <t>averages</t>
  </si>
  <si>
    <t>detlta (pople)</t>
  </si>
  <si>
    <t>delta (def)</t>
  </si>
  <si>
    <t>rxn barriers</t>
  </si>
  <si>
    <t>Hartrees</t>
  </si>
  <si>
    <t>Directory name</t>
  </si>
  <si>
    <t>Reaction labels from Table S19</t>
  </si>
  <si>
    <t>Compiled energies from DFT calculations:</t>
  </si>
  <si>
    <t>Tabulating reaction energies and TS barriers for reactions described in Table S19</t>
  </si>
  <si>
    <t>reaction energy</t>
  </si>
  <si>
    <t>activation barrier</t>
  </si>
  <si>
    <t>Number of basis fns in benzyl alcohol</t>
  </si>
  <si>
    <t>Basis set</t>
  </si>
  <si>
    <t>6-31G(d)</t>
  </si>
  <si>
    <t>6-311++G**</t>
  </si>
  <si>
    <t>6-311++G(2df,2p)</t>
  </si>
  <si>
    <t>6-311++G(3df,2p)</t>
  </si>
  <si>
    <t>def2-TZVP</t>
  </si>
  <si>
    <t>def2-TZVPD</t>
  </si>
  <si>
    <t>def2-TZVPPD</t>
  </si>
  <si>
    <t>def2-QZVP</t>
  </si>
  <si>
    <t>Reaction energies with different basis sets</t>
  </si>
  <si>
    <t>Energy barriers with different basis sets</t>
  </si>
  <si>
    <t>TS_BA_ortho_OH_O2_adduct_cycle</t>
  </si>
  <si>
    <t>TS_ortho_adduct_sub</t>
  </si>
  <si>
    <t>TS_ortho_adduct_O2_add_anti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</si>
</sst>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7" xfId="0" applyFont="1" applyBorder="1"/>
    <xf numFmtId="0" fontId="2" fillId="0" borderId="0" xfId="0" applyFont="1" applyFill="1" applyBorder="1"/>
    <xf numFmtId="0" fontId="2" fillId="0" borderId="0" xfId="0" applyFont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8" xfId="0" applyFont="1" applyBorder="1"/>
    <xf numFmtId="164" fontId="1" fillId="0" borderId="0" xfId="0" applyNumberFormat="1" applyFont="1"/>
    <xf numFmtId="164" fontId="1" fillId="0" borderId="6" xfId="0" applyNumberFormat="1" applyFont="1" applyBorder="1"/>
    <xf numFmtId="164" fontId="3" fillId="0" borderId="6" xfId="0" applyNumberFormat="1" applyFont="1" applyBorder="1"/>
    <xf numFmtId="164" fontId="3" fillId="0" borderId="2" xfId="0" applyNumberFormat="1" applyFont="1" applyBorder="1"/>
    <xf numFmtId="164" fontId="3" fillId="0" borderId="8" xfId="0" applyNumberFormat="1" applyFont="1" applyBorder="1"/>
    <xf numFmtId="0" fontId="0" fillId="0" borderId="0" xfId="0" applyAlignment="1">
      <alignment vertical="center" wrapText="1"/>
    </xf>
    <xf numFmtId="0" fontId="4" fillId="0" borderId="0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164" fontId="1" fillId="0" borderId="0" xfId="0" applyNumberFormat="1" applyFont="1" applyBorder="1"/>
    <xf numFmtId="0" fontId="3" fillId="0" borderId="0" xfId="0" applyFont="1" applyBorder="1"/>
    <xf numFmtId="164" fontId="3" fillId="0" borderId="0" xfId="0" applyNumberFormat="1" applyFont="1" applyBorder="1"/>
    <xf numFmtId="0" fontId="4" fillId="0" borderId="5" xfId="0" applyFont="1" applyBorder="1" applyAlignment="1">
      <alignment horizontal="justify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4EFA-7C7E-2249-8C52-4E7084AB4F76}">
  <dimension ref="A1:U91"/>
  <sheetViews>
    <sheetView tabSelected="1" zoomScale="75" workbookViewId="0">
      <selection activeCell="B64" sqref="B64:B71"/>
    </sheetView>
  </sheetViews>
  <sheetFormatPr baseColWidth="10" defaultRowHeight="14" x14ac:dyDescent="0.15"/>
  <cols>
    <col min="1" max="1" width="81.33203125" style="1" bestFit="1" customWidth="1"/>
    <col min="2" max="2" width="24.6640625" style="1" customWidth="1"/>
    <col min="3" max="3" width="48.6640625" style="1" customWidth="1"/>
    <col min="4" max="12" width="10.83203125" style="1"/>
    <col min="13" max="13" width="56.1640625" style="1" customWidth="1"/>
    <col min="14" max="14" width="14.1640625" style="1" customWidth="1"/>
    <col min="15" max="16384" width="10.83203125" style="1"/>
  </cols>
  <sheetData>
    <row r="1" spans="1:21" ht="15" thickBot="1" x14ac:dyDescent="0.2">
      <c r="A1" s="5" t="s">
        <v>40</v>
      </c>
    </row>
    <row r="2" spans="1:21" x14ac:dyDescent="0.15">
      <c r="A2" s="6" t="s">
        <v>38</v>
      </c>
      <c r="B2" s="7" t="s">
        <v>17</v>
      </c>
      <c r="C2" s="7" t="s">
        <v>18</v>
      </c>
      <c r="D2" s="7" t="s">
        <v>20</v>
      </c>
      <c r="E2" s="7" t="s">
        <v>21</v>
      </c>
      <c r="F2" s="7"/>
      <c r="G2" s="7" t="s">
        <v>22</v>
      </c>
      <c r="H2" s="7" t="s">
        <v>23</v>
      </c>
      <c r="I2" s="7" t="s">
        <v>29</v>
      </c>
      <c r="J2" s="8" t="s">
        <v>24</v>
      </c>
    </row>
    <row r="3" spans="1:21" x14ac:dyDescent="0.15">
      <c r="A3" s="2" t="s">
        <v>12</v>
      </c>
      <c r="B3" s="9">
        <v>-422.54832417889997</v>
      </c>
      <c r="C3" s="9">
        <v>-422.55138968030002</v>
      </c>
      <c r="D3" s="9">
        <v>-422.55740037919998</v>
      </c>
      <c r="E3" s="9">
        <v>-422.57635851319998</v>
      </c>
      <c r="F3" s="9"/>
      <c r="G3" s="9">
        <v>-422.36620020020001</v>
      </c>
      <c r="H3" s="9">
        <v>-422.50590749240001</v>
      </c>
      <c r="I3" s="9">
        <v>-422.53024038122902</v>
      </c>
      <c r="J3" s="10">
        <v>-422.53260371480002</v>
      </c>
      <c r="O3" s="1" t="s">
        <v>19</v>
      </c>
      <c r="R3" s="1" t="s">
        <v>19</v>
      </c>
      <c r="T3" s="1" t="s">
        <v>19</v>
      </c>
      <c r="U3" s="1" t="s">
        <v>19</v>
      </c>
    </row>
    <row r="4" spans="1:21" ht="17" customHeight="1" x14ac:dyDescent="0.15">
      <c r="A4" s="2" t="s">
        <v>13</v>
      </c>
      <c r="B4" s="9">
        <v>-572.92198835390002</v>
      </c>
      <c r="C4" s="9">
        <v>-572.92595971330002</v>
      </c>
      <c r="D4" s="9">
        <v>-572.93202848019996</v>
      </c>
      <c r="E4" s="9">
        <v>-572.95720732749999</v>
      </c>
      <c r="F4" s="9"/>
      <c r="G4" s="9">
        <v>-572.67537360419999</v>
      </c>
      <c r="H4" s="9">
        <v>-572.86164039489995</v>
      </c>
      <c r="I4" s="9">
        <v>-572.89428482443896</v>
      </c>
      <c r="J4" s="10">
        <v>-572.89808714950004</v>
      </c>
      <c r="O4" s="1" t="s">
        <v>19</v>
      </c>
      <c r="R4" s="1" t="s">
        <v>19</v>
      </c>
      <c r="T4" s="1" t="s">
        <v>19</v>
      </c>
      <c r="U4" s="1" t="s">
        <v>19</v>
      </c>
    </row>
    <row r="5" spans="1:21" x14ac:dyDescent="0.15">
      <c r="A5" s="2" t="s">
        <v>14</v>
      </c>
      <c r="B5" s="9">
        <v>-572.93471378519996</v>
      </c>
      <c r="C5" s="9">
        <v>-572.93846833709995</v>
      </c>
      <c r="D5" s="9">
        <v>-572.94450630840004</v>
      </c>
      <c r="E5" s="9">
        <v>-572.96964745939999</v>
      </c>
      <c r="F5" s="9"/>
      <c r="G5" s="9">
        <v>-572.69200273390004</v>
      </c>
      <c r="H5" s="9">
        <v>-572.87466114309996</v>
      </c>
      <c r="I5" s="9">
        <v>-572.90719161990398</v>
      </c>
      <c r="J5" s="10">
        <v>-572.91129291790003</v>
      </c>
      <c r="O5" s="1" t="s">
        <v>19</v>
      </c>
      <c r="R5" s="1" t="s">
        <v>19</v>
      </c>
      <c r="T5" s="1" t="s">
        <v>19</v>
      </c>
      <c r="U5" s="1" t="s">
        <v>19</v>
      </c>
    </row>
    <row r="6" spans="1:21" x14ac:dyDescent="0.15">
      <c r="A6" s="2" t="s">
        <v>11</v>
      </c>
      <c r="B6" s="9">
        <v>-346.76812275639998</v>
      </c>
      <c r="C6" s="9">
        <v>-346.76978068710002</v>
      </c>
      <c r="D6" s="9">
        <v>-346.77441592759999</v>
      </c>
      <c r="E6" s="9">
        <v>-346.79036206220002</v>
      </c>
      <c r="F6" s="9"/>
      <c r="G6" s="9">
        <v>-346.62604423840003</v>
      </c>
      <c r="H6" s="9">
        <v>-346.73080676680001</v>
      </c>
      <c r="I6" s="9">
        <v>-346.75252552117303</v>
      </c>
      <c r="J6" s="10">
        <v>-346.75414394979998</v>
      </c>
      <c r="O6" s="1" t="s">
        <v>19</v>
      </c>
      <c r="R6" s="1" t="s">
        <v>19</v>
      </c>
      <c r="T6" s="1" t="s">
        <v>19</v>
      </c>
      <c r="U6" s="1" t="s">
        <v>19</v>
      </c>
    </row>
    <row r="7" spans="1:21" x14ac:dyDescent="0.15">
      <c r="A7" s="2" t="s">
        <v>5</v>
      </c>
      <c r="B7" s="9">
        <v>-608.56835280600001</v>
      </c>
      <c r="C7" s="9">
        <v>-608.57323262960006</v>
      </c>
      <c r="D7" s="9">
        <v>-608.58052940130005</v>
      </c>
      <c r="E7" s="9">
        <v>-608.60698473920002</v>
      </c>
      <c r="F7" s="9"/>
      <c r="G7" s="9">
        <v>-608.28661255810005</v>
      </c>
      <c r="H7" s="9">
        <v>-608.50725921380001</v>
      </c>
      <c r="I7" s="9">
        <v>-608.53917819478704</v>
      </c>
      <c r="J7" s="10">
        <v>-608.54453083680005</v>
      </c>
      <c r="O7" s="1" t="s">
        <v>19</v>
      </c>
      <c r="R7" s="1" t="s">
        <v>19</v>
      </c>
      <c r="T7" s="1" t="s">
        <v>19</v>
      </c>
      <c r="U7" s="1" t="s">
        <v>19</v>
      </c>
    </row>
    <row r="8" spans="1:21" x14ac:dyDescent="0.15">
      <c r="A8" s="2" t="s">
        <v>4</v>
      </c>
      <c r="B8" s="9">
        <v>-798.90039390770005</v>
      </c>
      <c r="C8" s="9">
        <v>-798.90738289060005</v>
      </c>
      <c r="D8" s="9">
        <v>-798.91779433140005</v>
      </c>
      <c r="E8" s="9">
        <v>-798.95213540999998</v>
      </c>
      <c r="F8" s="9"/>
      <c r="G8" s="9">
        <v>-798.52747129160002</v>
      </c>
      <c r="H8" s="9">
        <v>-798.82348523320002</v>
      </c>
      <c r="I8" s="9">
        <v>-798.86345121470094</v>
      </c>
      <c r="J8" s="10">
        <v>-798.87011103730003</v>
      </c>
      <c r="O8" s="1" t="s">
        <v>19</v>
      </c>
      <c r="R8" s="1" t="s">
        <v>19</v>
      </c>
      <c r="T8" s="1" t="s">
        <v>19</v>
      </c>
      <c r="U8" s="1" t="s">
        <v>19</v>
      </c>
    </row>
    <row r="9" spans="1:21" x14ac:dyDescent="0.15">
      <c r="A9" s="2" t="s">
        <v>3</v>
      </c>
      <c r="B9" s="9">
        <v>-496.25895224120001</v>
      </c>
      <c r="C9" s="9">
        <v>-496.26364061959998</v>
      </c>
      <c r="D9" s="9">
        <v>-496.27016339829999</v>
      </c>
      <c r="E9" s="9">
        <v>-496.291941189</v>
      </c>
      <c r="F9" s="9"/>
      <c r="G9" s="9">
        <v>-496.03234954689998</v>
      </c>
      <c r="H9" s="9">
        <v>-496.21024048970003</v>
      </c>
      <c r="I9" s="9">
        <v>-496.23707369206602</v>
      </c>
      <c r="J9" s="10">
        <v>-496.24122905349998</v>
      </c>
      <c r="O9" s="1" t="s">
        <v>19</v>
      </c>
      <c r="R9" s="1" t="s">
        <v>19</v>
      </c>
      <c r="T9" s="1" t="s">
        <v>19</v>
      </c>
      <c r="U9" s="1" t="s">
        <v>19</v>
      </c>
    </row>
    <row r="10" spans="1:21" x14ac:dyDescent="0.15">
      <c r="A10" s="2" t="s">
        <v>6</v>
      </c>
      <c r="B10" s="9">
        <v>-190.31216913270001</v>
      </c>
      <c r="C10" s="9">
        <v>-190.31514299439999</v>
      </c>
      <c r="D10" s="9">
        <v>-190.3182948166</v>
      </c>
      <c r="E10" s="9">
        <v>-190.3262801601</v>
      </c>
      <c r="F10" s="9"/>
      <c r="G10" s="9">
        <v>-190.2122772168</v>
      </c>
      <c r="H10" s="9">
        <v>-190.29456216829999</v>
      </c>
      <c r="I10" s="9">
        <v>-190.30413869058</v>
      </c>
      <c r="J10" s="10">
        <v>-190.3062825065</v>
      </c>
      <c r="O10" s="1" t="s">
        <v>19</v>
      </c>
      <c r="R10" s="1" t="s">
        <v>19</v>
      </c>
      <c r="T10" s="1" t="s">
        <v>19</v>
      </c>
      <c r="U10" s="1" t="s">
        <v>19</v>
      </c>
    </row>
    <row r="11" spans="1:21" x14ac:dyDescent="0.15">
      <c r="A11" s="2" t="s">
        <v>15</v>
      </c>
      <c r="B11" s="9">
        <v>-150.48138600780001</v>
      </c>
      <c r="C11" s="9">
        <v>-150.48716206809999</v>
      </c>
      <c r="D11" s="9">
        <v>-150.48716206809999</v>
      </c>
      <c r="E11" s="9">
        <v>-150.49063555730001</v>
      </c>
      <c r="F11" s="9"/>
      <c r="G11" s="9">
        <v>-150.39293263179999</v>
      </c>
      <c r="H11" s="9">
        <v>-150.47094578639999</v>
      </c>
      <c r="I11" s="9">
        <v>-150.476918056936</v>
      </c>
      <c r="J11" s="10">
        <v>-150.477286741</v>
      </c>
      <c r="P11" s="1" t="s">
        <v>19</v>
      </c>
      <c r="R11" s="1" t="s">
        <v>19</v>
      </c>
      <c r="T11" s="1" t="s">
        <v>19</v>
      </c>
      <c r="U11" s="1" t="s">
        <v>19</v>
      </c>
    </row>
    <row r="12" spans="1:21" x14ac:dyDescent="0.15">
      <c r="A12" s="2" t="s">
        <v>2</v>
      </c>
      <c r="B12" s="9">
        <v>-150.34759901469999</v>
      </c>
      <c r="C12" s="9">
        <v>-150.34879061239999</v>
      </c>
      <c r="D12" s="9">
        <v>-150.34879061239999</v>
      </c>
      <c r="E12" s="9">
        <v>-150.35439883359999</v>
      </c>
      <c r="F12" s="9"/>
      <c r="G12" s="9">
        <v>-150.27780521099999</v>
      </c>
      <c r="H12" s="9">
        <v>-150.32778914369999</v>
      </c>
      <c r="I12" s="9">
        <v>-150.335939330597</v>
      </c>
      <c r="J12" s="10">
        <v>-150.3369061699</v>
      </c>
      <c r="P12" s="1" t="s">
        <v>19</v>
      </c>
      <c r="R12" s="1" t="s">
        <v>19</v>
      </c>
      <c r="T12" s="1" t="s">
        <v>19</v>
      </c>
      <c r="U12" s="1" t="s">
        <v>19</v>
      </c>
    </row>
    <row r="13" spans="1:21" x14ac:dyDescent="0.15">
      <c r="A13" s="2" t="s">
        <v>0</v>
      </c>
      <c r="B13" s="9">
        <v>-75.747123209500003</v>
      </c>
      <c r="C13" s="9">
        <v>-75.748836005800001</v>
      </c>
      <c r="D13" s="9">
        <v>-75.750094270899993</v>
      </c>
      <c r="E13" s="9">
        <v>-75.752949561799994</v>
      </c>
      <c r="F13" s="9"/>
      <c r="G13" s="9">
        <v>-75.702971414299995</v>
      </c>
      <c r="H13" s="9">
        <v>-75.741895511300001</v>
      </c>
      <c r="I13" s="9">
        <v>-75.743775584749997</v>
      </c>
      <c r="J13" s="10">
        <v>-75.744080378600003</v>
      </c>
      <c r="P13" s="1" t="s">
        <v>19</v>
      </c>
      <c r="R13" s="1" t="s">
        <v>19</v>
      </c>
      <c r="T13" s="1" t="s">
        <v>19</v>
      </c>
      <c r="U13" s="1" t="s">
        <v>19</v>
      </c>
    </row>
    <row r="14" spans="1:21" x14ac:dyDescent="0.15">
      <c r="A14" s="2" t="s">
        <v>1</v>
      </c>
      <c r="B14" s="9">
        <v>-150.93780146309999</v>
      </c>
      <c r="C14" s="9">
        <v>-150.939608529</v>
      </c>
      <c r="D14" s="9">
        <v>-150.94087757060001</v>
      </c>
      <c r="E14" s="9">
        <v>-150.94696015119999</v>
      </c>
      <c r="F14" s="9"/>
      <c r="G14" s="9">
        <v>-150.86167775370001</v>
      </c>
      <c r="H14" s="9">
        <v>-150.92040608369999</v>
      </c>
      <c r="I14" s="9">
        <v>-150.928511792183</v>
      </c>
      <c r="J14" s="10">
        <v>-150.9292699065</v>
      </c>
      <c r="P14" s="1" t="s">
        <v>19</v>
      </c>
      <c r="R14" s="1" t="s">
        <v>19</v>
      </c>
      <c r="T14" s="1" t="s">
        <v>19</v>
      </c>
      <c r="U14" s="1" t="s">
        <v>19</v>
      </c>
    </row>
    <row r="15" spans="1:21" x14ac:dyDescent="0.15">
      <c r="A15" s="2" t="s">
        <v>16</v>
      </c>
      <c r="B15" s="9">
        <v>-422.01842264240003</v>
      </c>
      <c r="C15" s="9">
        <v>-422.02083801489999</v>
      </c>
      <c r="D15" s="9">
        <v>-422.02631561449999</v>
      </c>
      <c r="E15" s="9">
        <v>-422.0451485406</v>
      </c>
      <c r="F15" s="9"/>
      <c r="G15" s="9">
        <v>-421.83942874050001</v>
      </c>
      <c r="H15" s="9">
        <v>-421.97346249229997</v>
      </c>
      <c r="I15" s="9">
        <v>-421.99901955437099</v>
      </c>
      <c r="J15" s="10">
        <v>-422.00150153999999</v>
      </c>
      <c r="P15" s="1" t="s">
        <v>19</v>
      </c>
      <c r="R15" s="1" t="s">
        <v>19</v>
      </c>
      <c r="T15" s="1" t="s">
        <v>19</v>
      </c>
      <c r="U15" s="1" t="s">
        <v>19</v>
      </c>
    </row>
    <row r="16" spans="1:21" x14ac:dyDescent="0.15">
      <c r="A16" s="2" t="s">
        <v>8</v>
      </c>
      <c r="B16" s="9">
        <v>-646.75383744249996</v>
      </c>
      <c r="C16" s="9">
        <v>-646.76056717769995</v>
      </c>
      <c r="D16" s="9">
        <v>-646.76702522710002</v>
      </c>
      <c r="E16" s="9">
        <v>-646.79445684179996</v>
      </c>
      <c r="F16" s="9"/>
      <c r="G16" s="9">
        <v>-646.45348785609997</v>
      </c>
      <c r="H16" s="9">
        <v>-646.69070626309997</v>
      </c>
      <c r="I16" s="9">
        <v>-646.72401671505395</v>
      </c>
      <c r="J16" s="10">
        <v>-646.72913313150002</v>
      </c>
      <c r="P16" s="1" t="s">
        <v>19</v>
      </c>
      <c r="R16" s="1" t="s">
        <v>19</v>
      </c>
      <c r="T16" s="1" t="s">
        <v>19</v>
      </c>
      <c r="U16" s="1" t="s">
        <v>19</v>
      </c>
    </row>
    <row r="17" spans="1:21" x14ac:dyDescent="0.15">
      <c r="A17" s="2" t="s">
        <v>56</v>
      </c>
      <c r="B17" s="9">
        <v>-572.89246341180001</v>
      </c>
      <c r="C17" s="9">
        <v>-572.8966253474</v>
      </c>
      <c r="D17" s="9">
        <v>-572.90268692120003</v>
      </c>
      <c r="E17" s="9">
        <v>-572.92767701410003</v>
      </c>
      <c r="F17" s="9"/>
      <c r="G17" s="9">
        <v>-572.64715779139999</v>
      </c>
      <c r="H17" s="9">
        <v>-572.8337777639</v>
      </c>
      <c r="I17" s="9">
        <v>-572.86544468640898</v>
      </c>
      <c r="J17" s="10">
        <v>-572.8692572704</v>
      </c>
      <c r="P17" s="1" t="s">
        <v>19</v>
      </c>
      <c r="R17" s="1" t="s">
        <v>19</v>
      </c>
      <c r="T17" s="1" t="s">
        <v>19</v>
      </c>
      <c r="U17" s="1" t="s">
        <v>19</v>
      </c>
    </row>
    <row r="18" spans="1:21" x14ac:dyDescent="0.15">
      <c r="A18" s="2" t="s">
        <v>58</v>
      </c>
      <c r="B18" s="9">
        <v>-572.89116354110001</v>
      </c>
      <c r="C18" s="9">
        <v>-572.89517190109996</v>
      </c>
      <c r="D18" s="9">
        <v>-572.90121304349998</v>
      </c>
      <c r="E18" s="9">
        <v>-572.92621295829997</v>
      </c>
      <c r="F18" s="9"/>
      <c r="G18" s="9">
        <v>-572.64441165630001</v>
      </c>
      <c r="H18" s="9">
        <v>-572.83172403380001</v>
      </c>
      <c r="I18" s="9">
        <v>-572.86326618549197</v>
      </c>
      <c r="J18" s="10">
        <v>-572.86686556560005</v>
      </c>
      <c r="P18" s="1" t="s">
        <v>19</v>
      </c>
      <c r="R18" s="1" t="s">
        <v>19</v>
      </c>
      <c r="T18" s="1" t="s">
        <v>19</v>
      </c>
      <c r="U18" s="1" t="s">
        <v>19</v>
      </c>
    </row>
    <row r="19" spans="1:21" x14ac:dyDescent="0.15">
      <c r="A19" s="2" t="s">
        <v>57</v>
      </c>
      <c r="B19" s="9">
        <v>-572.89269589569994</v>
      </c>
      <c r="C19" s="9">
        <v>-572.89686834120005</v>
      </c>
      <c r="D19" s="9">
        <v>-572.90290183720003</v>
      </c>
      <c r="E19" s="9">
        <v>-572.92779605429996</v>
      </c>
      <c r="F19" s="9"/>
      <c r="G19" s="9">
        <v>-572.64496253619996</v>
      </c>
      <c r="H19" s="9">
        <v>-572.8323283958</v>
      </c>
      <c r="I19" s="9">
        <v>-572.864434574391</v>
      </c>
      <c r="J19" s="10">
        <v>-572.86805291209998</v>
      </c>
      <c r="P19" s="1" t="s">
        <v>19</v>
      </c>
      <c r="R19" s="1" t="s">
        <v>19</v>
      </c>
      <c r="T19" s="1" t="s">
        <v>19</v>
      </c>
      <c r="U19" s="1" t="s">
        <v>19</v>
      </c>
    </row>
    <row r="20" spans="1:21" x14ac:dyDescent="0.15">
      <c r="A20" s="2" t="s">
        <v>7</v>
      </c>
      <c r="B20" s="9">
        <v>-422.5206820276</v>
      </c>
      <c r="C20" s="9">
        <v>-422.52400061179998</v>
      </c>
      <c r="D20" s="9">
        <v>-422.52998453700002</v>
      </c>
      <c r="E20" s="9">
        <v>-422.54873377280001</v>
      </c>
      <c r="F20" s="9"/>
      <c r="G20" s="9">
        <v>-422.33634593530002</v>
      </c>
      <c r="H20" s="9">
        <v>-422.47907234410002</v>
      </c>
      <c r="I20" s="9">
        <v>-422.50276300111102</v>
      </c>
      <c r="J20" s="10">
        <v>-422.5049114789</v>
      </c>
      <c r="P20" s="1" t="s">
        <v>19</v>
      </c>
      <c r="R20" s="1" t="s">
        <v>19</v>
      </c>
      <c r="T20" s="1" t="s">
        <v>19</v>
      </c>
      <c r="U20" s="1" t="s">
        <v>19</v>
      </c>
    </row>
    <row r="21" spans="1:21" x14ac:dyDescent="0.15">
      <c r="A21" s="2" t="s">
        <v>10</v>
      </c>
      <c r="B21" s="9">
        <v>-798.88980132790005</v>
      </c>
      <c r="C21" s="9">
        <v>-798.89668794700003</v>
      </c>
      <c r="D21" s="9">
        <v>-798.90708902009999</v>
      </c>
      <c r="E21" s="9">
        <v>-798.94162157580001</v>
      </c>
      <c r="F21" s="9"/>
      <c r="G21" s="9">
        <v>-798.5122898116</v>
      </c>
      <c r="H21" s="9">
        <v>-798.8109400349</v>
      </c>
      <c r="I21" s="9">
        <v>-798.852411566819</v>
      </c>
      <c r="J21" s="10">
        <v>-798.85970258079999</v>
      </c>
      <c r="P21" s="1" t="s">
        <v>19</v>
      </c>
      <c r="R21" s="1" t="s">
        <v>19</v>
      </c>
      <c r="T21" s="1" t="s">
        <v>19</v>
      </c>
      <c r="U21" s="1" t="s">
        <v>19</v>
      </c>
    </row>
    <row r="22" spans="1:21" ht="15" thickBot="1" x14ac:dyDescent="0.2">
      <c r="A22" s="3" t="s">
        <v>9</v>
      </c>
      <c r="B22" s="11">
        <v>-646.73969875479997</v>
      </c>
      <c r="C22" s="11">
        <v>-646.74764099849995</v>
      </c>
      <c r="D22" s="11">
        <v>-646.75412608800002</v>
      </c>
      <c r="E22" s="11">
        <v>-646.78113615330005</v>
      </c>
      <c r="F22" s="11"/>
      <c r="G22" s="11">
        <v>-646.43435007640005</v>
      </c>
      <c r="H22" s="11">
        <v>-646.67859119449997</v>
      </c>
      <c r="I22" s="11">
        <v>-646.711115805791</v>
      </c>
      <c r="J22" s="12">
        <v>-646.71590634999995</v>
      </c>
      <c r="P22" s="1" t="s">
        <v>19</v>
      </c>
      <c r="R22" s="1" t="s">
        <v>19</v>
      </c>
      <c r="T22" s="1" t="s">
        <v>19</v>
      </c>
    </row>
    <row r="24" spans="1:21" ht="15" thickBot="1" x14ac:dyDescent="0.2">
      <c r="A24" s="4" t="s">
        <v>41</v>
      </c>
    </row>
    <row r="25" spans="1:21" x14ac:dyDescent="0.15">
      <c r="A25" s="6"/>
      <c r="B25" s="7"/>
      <c r="C25" s="7" t="s">
        <v>39</v>
      </c>
      <c r="D25" s="7"/>
      <c r="E25" s="7"/>
      <c r="F25" s="7"/>
      <c r="G25" s="7"/>
      <c r="H25" s="7"/>
      <c r="I25" s="7"/>
      <c r="J25" s="7"/>
      <c r="K25" s="7"/>
      <c r="L25" s="8"/>
    </row>
    <row r="26" spans="1:21" x14ac:dyDescent="0.15">
      <c r="A26" s="2" t="s">
        <v>37</v>
      </c>
      <c r="B26" s="9" t="s">
        <v>25</v>
      </c>
      <c r="C26" s="9" t="s">
        <v>42</v>
      </c>
      <c r="D26" s="9">
        <f>B3-B6-B13</f>
        <v>-3.3078212999996026E-2</v>
      </c>
      <c r="E26" s="9">
        <f>C3-C6-C13</f>
        <v>-3.2772987399994236E-2</v>
      </c>
      <c r="F26" s="9">
        <f>D3-D6-D13</f>
        <v>-3.2890180699993721E-2</v>
      </c>
      <c r="G26" s="9">
        <f>E3-E6-E13</f>
        <v>-3.304688919996579E-2</v>
      </c>
      <c r="H26" s="9"/>
      <c r="I26" s="9">
        <f>G3-G6-G13</f>
        <v>-3.7184547499990117E-2</v>
      </c>
      <c r="J26" s="9">
        <f>H3-H6-H13</f>
        <v>-3.320521429999701E-2</v>
      </c>
      <c r="K26" s="9">
        <f>I3-I6-I13</f>
        <v>-3.393927530599683E-2</v>
      </c>
      <c r="L26" s="10">
        <f>J3-J6-J13</f>
        <v>-3.4379386400033241E-2</v>
      </c>
      <c r="P26" s="1" t="s">
        <v>19</v>
      </c>
    </row>
    <row r="27" spans="1:21" x14ac:dyDescent="0.15">
      <c r="A27" s="2"/>
      <c r="B27" s="9"/>
      <c r="C27" s="9" t="s">
        <v>43</v>
      </c>
      <c r="D27" s="9">
        <f>B20-B6-B13</f>
        <v>-5.4360617000241973E-3</v>
      </c>
      <c r="E27" s="9">
        <f>C20-C6-C13</f>
        <v>-5.3839188999518228E-3</v>
      </c>
      <c r="F27" s="9">
        <f>D20-D6-D13</f>
        <v>-5.4743385000364242E-3</v>
      </c>
      <c r="G27" s="9">
        <f>E20-E6-E13</f>
        <v>-5.42214879999392E-3</v>
      </c>
      <c r="H27" s="9"/>
      <c r="I27" s="9">
        <f>G20-G6-G13</f>
        <v>-7.3302825999945753E-3</v>
      </c>
      <c r="J27" s="9">
        <f>H20-H6-H13</f>
        <v>-6.370066000002339E-3</v>
      </c>
      <c r="K27" s="9">
        <f>I20-I6-I13</f>
        <v>-6.461895187996447E-3</v>
      </c>
      <c r="L27" s="10">
        <f>J20-J6-J13</f>
        <v>-6.6871505000136722E-3</v>
      </c>
      <c r="P27" s="1" t="s">
        <v>19</v>
      </c>
    </row>
    <row r="28" spans="1:21" x14ac:dyDescent="0.15">
      <c r="A28" s="2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P28" s="1" t="s">
        <v>19</v>
      </c>
    </row>
    <row r="29" spans="1:21" x14ac:dyDescent="0.15">
      <c r="A29" s="2"/>
      <c r="B29" s="9" t="s">
        <v>26</v>
      </c>
      <c r="C29" s="9" t="s">
        <v>42</v>
      </c>
      <c r="D29" s="9">
        <f>B15+B14-B12-B3</f>
        <v>-6.0300911900071696E-2</v>
      </c>
      <c r="E29" s="9">
        <f>C15+C14-C12-C3</f>
        <v>-6.0266251199948329E-2</v>
      </c>
      <c r="F29" s="9">
        <f>D15+D14-D12-D3</f>
        <v>-6.1002193500030444E-2</v>
      </c>
      <c r="G29" s="9">
        <f>E15+E14-E12-E3</f>
        <v>-6.1351345000048241E-2</v>
      </c>
      <c r="H29" s="9"/>
      <c r="I29" s="9">
        <f>G15+G14-G12-G3</f>
        <v>-5.7101083000077324E-2</v>
      </c>
      <c r="J29" s="9">
        <f>H15+H14-H12-H3</f>
        <v>-6.0171939899930749E-2</v>
      </c>
      <c r="K29" s="9">
        <f>I15+I14-I12-I3</f>
        <v>-6.1351634727998317E-2</v>
      </c>
      <c r="L29" s="10">
        <f>J15+J14-J12-J3</f>
        <v>-6.1261561799994979E-2</v>
      </c>
      <c r="P29" s="1" t="s">
        <v>19</v>
      </c>
    </row>
    <row r="30" spans="1:21" x14ac:dyDescent="0.15">
      <c r="A30" s="2"/>
      <c r="B30" s="9"/>
      <c r="C30" s="9" t="s">
        <v>43</v>
      </c>
      <c r="D30" s="9">
        <f>B19-B3-B12</f>
        <v>3.2272979000254054E-3</v>
      </c>
      <c r="E30" s="9">
        <f>C19-C3-C12</f>
        <v>3.3119514999668809E-3</v>
      </c>
      <c r="F30" s="9">
        <f>D19-D3-D12</f>
        <v>3.2891543999369333E-3</v>
      </c>
      <c r="G30" s="9">
        <f>E19-E3-E12</f>
        <v>2.9612925000037649E-3</v>
      </c>
      <c r="H30" s="9"/>
      <c r="I30" s="9">
        <f>G19-G3-G12</f>
        <v>-9.5712499995670441E-4</v>
      </c>
      <c r="J30" s="9">
        <f>H19-H3-H12</f>
        <v>1.3682402999961596E-3</v>
      </c>
      <c r="K30" s="9">
        <f>I19-I3-I12</f>
        <v>1.7451374350230253E-3</v>
      </c>
      <c r="L30" s="10">
        <f>J19-J3-J12</f>
        <v>1.4569726000388528E-3</v>
      </c>
      <c r="P30" s="1" t="s">
        <v>19</v>
      </c>
    </row>
    <row r="31" spans="1:21" x14ac:dyDescent="0.15">
      <c r="A31" s="2"/>
      <c r="B31" s="9"/>
      <c r="C31" s="9"/>
      <c r="D31" s="9"/>
      <c r="E31" s="9"/>
      <c r="F31" s="9"/>
      <c r="G31" s="9"/>
      <c r="H31" s="9"/>
      <c r="I31" s="9"/>
      <c r="J31" s="9"/>
      <c r="K31" s="9"/>
      <c r="L31" s="10"/>
      <c r="P31" s="1" t="s">
        <v>19</v>
      </c>
    </row>
    <row r="32" spans="1:21" x14ac:dyDescent="0.15">
      <c r="A32" s="2"/>
      <c r="B32" s="9" t="s">
        <v>28</v>
      </c>
      <c r="C32" s="9" t="s">
        <v>42</v>
      </c>
      <c r="D32" s="9">
        <f>B4-B12-B3</f>
        <v>-2.6065160300049683E-2</v>
      </c>
      <c r="E32" s="9">
        <f>C4-C12-C3</f>
        <v>-2.5779420600031244E-2</v>
      </c>
      <c r="F32" s="9">
        <f>D4-D12-D3</f>
        <v>-2.5837488600018332E-2</v>
      </c>
      <c r="G32" s="9">
        <f>E4-E12-E3</f>
        <v>-2.6449980700022024E-2</v>
      </c>
      <c r="H32" s="9"/>
      <c r="I32" s="9">
        <f>G4-G12-G3</f>
        <v>-3.1368192999991606E-2</v>
      </c>
      <c r="J32" s="9">
        <f>H4-H12-H3</f>
        <v>-2.7943758799949592E-2</v>
      </c>
      <c r="K32" s="9">
        <f>I4-I12-I3</f>
        <v>-2.8105112612934136E-2</v>
      </c>
      <c r="L32" s="10">
        <f>J4-J12-J3</f>
        <v>-2.8577264800048852E-2</v>
      </c>
      <c r="P32" s="1" t="s">
        <v>19</v>
      </c>
    </row>
    <row r="33" spans="1:12" x14ac:dyDescent="0.15">
      <c r="A33" s="2"/>
      <c r="B33" s="9"/>
      <c r="C33" s="9" t="s">
        <v>43</v>
      </c>
      <c r="D33" s="9">
        <f>B18-B3-B12</f>
        <v>4.7596524999562462E-3</v>
      </c>
      <c r="E33" s="9">
        <f>C18-C3-C12</f>
        <v>5.0083916000573936E-3</v>
      </c>
      <c r="F33" s="9">
        <f>D18-D3-D12</f>
        <v>4.9779480999916359E-3</v>
      </c>
      <c r="G33" s="9">
        <f>E18-E3-E12</f>
        <v>4.5443884999940565E-3</v>
      </c>
      <c r="H33" s="9"/>
      <c r="I33" s="9">
        <f>G18-G3-G12</f>
        <v>-4.0624510000952796E-4</v>
      </c>
      <c r="J33" s="9">
        <f>H18-H3-H12</f>
        <v>1.9726022999861925E-3</v>
      </c>
      <c r="K33" s="9">
        <f>I18-I3-I12</f>
        <v>2.91352633405495E-3</v>
      </c>
      <c r="L33" s="10">
        <f>J18-J3-J12</f>
        <v>2.6443190999714261E-3</v>
      </c>
    </row>
    <row r="34" spans="1:12" x14ac:dyDescent="0.15">
      <c r="A34" s="2"/>
      <c r="B34" s="9"/>
      <c r="C34" s="9"/>
      <c r="D34" s="9"/>
      <c r="E34" s="9"/>
      <c r="F34" s="9"/>
      <c r="G34" s="9"/>
      <c r="H34" s="9"/>
      <c r="I34" s="9"/>
      <c r="J34" s="9"/>
      <c r="K34" s="9"/>
      <c r="L34" s="10"/>
    </row>
    <row r="35" spans="1:12" x14ac:dyDescent="0.15">
      <c r="A35" s="2"/>
      <c r="B35" s="9" t="s">
        <v>27</v>
      </c>
      <c r="C35" s="9" t="s">
        <v>42</v>
      </c>
      <c r="D35" s="9">
        <f>B5-B4</f>
        <v>-1.2725431299941192E-2</v>
      </c>
      <c r="E35" s="9">
        <f>C5-C4</f>
        <v>-1.2508623799931229E-2</v>
      </c>
      <c r="F35" s="9">
        <f>D5-D4</f>
        <v>-1.2477828200076146E-2</v>
      </c>
      <c r="G35" s="9">
        <f>E5-E4</f>
        <v>-1.2440131900007145E-2</v>
      </c>
      <c r="H35" s="9"/>
      <c r="I35" s="9">
        <f>G5-G4</f>
        <v>-1.6629129700049816E-2</v>
      </c>
      <c r="J35" s="9">
        <f>H5-H4</f>
        <v>-1.3020748200005983E-2</v>
      </c>
      <c r="K35" s="9">
        <f>I5-I4</f>
        <v>-1.2906795465028154E-2</v>
      </c>
      <c r="L35" s="10">
        <f>J5-J4</f>
        <v>-1.3205768399984663E-2</v>
      </c>
    </row>
    <row r="36" spans="1:12" x14ac:dyDescent="0.15">
      <c r="A36" s="2"/>
      <c r="B36" s="9"/>
      <c r="C36" s="9" t="s">
        <v>43</v>
      </c>
      <c r="D36" s="9">
        <f>B17-B4</f>
        <v>2.9524942100010776E-2</v>
      </c>
      <c r="E36" s="9">
        <f>C17-C4</f>
        <v>2.9334365900012926E-2</v>
      </c>
      <c r="F36" s="9">
        <f>D17-D4</f>
        <v>2.9341558999931294E-2</v>
      </c>
      <c r="G36" s="9">
        <f>E17-E4</f>
        <v>2.9530313399959596E-2</v>
      </c>
      <c r="H36" s="9"/>
      <c r="I36" s="9">
        <f>G17-G4</f>
        <v>2.8215812799999185E-2</v>
      </c>
      <c r="J36" s="9">
        <f>H17-H4</f>
        <v>2.7862630999948124E-2</v>
      </c>
      <c r="K36" s="9">
        <f>I17-I4</f>
        <v>2.8840138029977425E-2</v>
      </c>
      <c r="L36" s="10">
        <f>J17-J4</f>
        <v>2.8829879100044309E-2</v>
      </c>
    </row>
    <row r="37" spans="1:12" x14ac:dyDescent="0.15">
      <c r="A37" s="2"/>
      <c r="B37" s="9"/>
      <c r="C37" s="9"/>
      <c r="D37" s="9"/>
      <c r="E37" s="9"/>
      <c r="F37" s="9"/>
      <c r="G37" s="9"/>
      <c r="H37" s="9"/>
      <c r="I37" s="9"/>
      <c r="J37" s="9"/>
      <c r="K37" s="9"/>
      <c r="L37" s="10"/>
    </row>
    <row r="38" spans="1:12" x14ac:dyDescent="0.15">
      <c r="A38" s="2"/>
      <c r="B38" s="9" t="s">
        <v>30</v>
      </c>
      <c r="C38" s="9" t="s">
        <v>42</v>
      </c>
      <c r="D38" s="9">
        <f>B16-B9-B11</f>
        <v>-1.3499193499939111E-2</v>
      </c>
      <c r="E38" s="9">
        <f>C16-C9-C11</f>
        <v>-9.7644899999806967E-3</v>
      </c>
      <c r="F38" s="9">
        <f>D16-D9-D11</f>
        <v>-9.6997607000446351E-3</v>
      </c>
      <c r="G38" s="9">
        <f>E16-E9-E11</f>
        <v>-1.1880095499947174E-2</v>
      </c>
      <c r="H38" s="9"/>
      <c r="I38" s="9">
        <f>G16-G9-G11</f>
        <v>-2.8205677399995466E-2</v>
      </c>
      <c r="J38" s="9">
        <f>H16-H9-H11</f>
        <v>-9.519986999947605E-3</v>
      </c>
      <c r="K38" s="9">
        <f>I16-I9-I11</f>
        <v>-1.0024966051929596E-2</v>
      </c>
      <c r="L38" s="10">
        <f>J16-J9-J11</f>
        <v>-1.0617337000041971E-2</v>
      </c>
    </row>
    <row r="39" spans="1:12" x14ac:dyDescent="0.15">
      <c r="A39" s="2"/>
      <c r="B39" s="9"/>
      <c r="C39" s="9" t="s">
        <v>43</v>
      </c>
      <c r="D39" s="9">
        <f>B22-B9-B11</f>
        <v>6.3949420004405511E-4</v>
      </c>
      <c r="E39" s="9">
        <f>C22-C9-C11</f>
        <v>3.1616892000272401E-3</v>
      </c>
      <c r="F39" s="9">
        <f>D22-D9-D11</f>
        <v>3.1993783999553216E-3</v>
      </c>
      <c r="G39" s="9">
        <f>E22-E9-E11</f>
        <v>1.4405929999554701E-3</v>
      </c>
      <c r="H39" s="9"/>
      <c r="I39" s="9">
        <f>G22-G9-G11</f>
        <v>-9.067897700077765E-3</v>
      </c>
      <c r="J39" s="9">
        <f>H22-H9-H11</f>
        <v>2.595081600048843E-3</v>
      </c>
      <c r="K39" s="9">
        <f>I22-I9-I11</f>
        <v>2.8759432110234684E-3</v>
      </c>
      <c r="L39" s="10">
        <f>J22-J9-J11</f>
        <v>2.609444500023983E-3</v>
      </c>
    </row>
    <row r="40" spans="1:12" x14ac:dyDescent="0.15">
      <c r="A40" s="2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</row>
    <row r="41" spans="1:12" x14ac:dyDescent="0.15">
      <c r="A41" s="2"/>
      <c r="B41" s="9" t="s">
        <v>31</v>
      </c>
      <c r="C41" s="9" t="s">
        <v>42</v>
      </c>
      <c r="D41" s="9">
        <f>B7+B10-B8</f>
        <v>1.9871969000064382E-2</v>
      </c>
      <c r="E41" s="9">
        <f>C7+C10-C8</f>
        <v>1.9007266600056028E-2</v>
      </c>
      <c r="F41" s="9">
        <f>D7+D10-D8</f>
        <v>1.897011350001776E-2</v>
      </c>
      <c r="G41" s="9">
        <f>E7+E10-E8</f>
        <v>1.8870510700025989E-2</v>
      </c>
      <c r="H41" s="9"/>
      <c r="I41" s="9">
        <f>G7+G10-G8</f>
        <v>2.8581516700000975E-2</v>
      </c>
      <c r="J41" s="9">
        <f>H7+H10-H8</f>
        <v>2.1663851100015563E-2</v>
      </c>
      <c r="K41" s="9">
        <f>I7+I10-I8</f>
        <v>2.0134329333927781E-2</v>
      </c>
      <c r="L41" s="10">
        <f>J7+J10-J8</f>
        <v>1.9297693999988041E-2</v>
      </c>
    </row>
    <row r="42" spans="1:12" x14ac:dyDescent="0.15">
      <c r="A42" s="2"/>
      <c r="B42" s="9"/>
      <c r="C42" s="9" t="s">
        <v>43</v>
      </c>
      <c r="D42" s="9">
        <f>B21-B8</f>
        <v>1.0592579800004387E-2</v>
      </c>
      <c r="E42" s="9">
        <f>C21-C8</f>
        <v>1.0694943600014994E-2</v>
      </c>
      <c r="F42" s="9">
        <f>D21-D8</f>
        <v>1.0705311300057474E-2</v>
      </c>
      <c r="G42" s="9">
        <f>E21-E8</f>
        <v>1.0513834199969097E-2</v>
      </c>
      <c r="H42" s="9"/>
      <c r="I42" s="9">
        <f>G21-G8</f>
        <v>1.5181480000023839E-2</v>
      </c>
      <c r="J42" s="9">
        <f>H21-H8</f>
        <v>1.2545198300017546E-2</v>
      </c>
      <c r="K42" s="9">
        <f>I21-I8</f>
        <v>1.1039647881943893E-2</v>
      </c>
      <c r="L42" s="10">
        <f>J21-J8</f>
        <v>1.0408456500044849E-2</v>
      </c>
    </row>
    <row r="43" spans="1:12" x14ac:dyDescent="0.15">
      <c r="A43" s="2"/>
      <c r="B43" s="9"/>
      <c r="C43" s="9"/>
      <c r="D43" s="9"/>
      <c r="E43" s="9"/>
      <c r="F43" s="9"/>
      <c r="G43" s="9"/>
      <c r="H43" s="9"/>
      <c r="I43" s="9"/>
      <c r="J43" s="9"/>
      <c r="K43" s="9"/>
      <c r="L43" s="10"/>
    </row>
    <row r="44" spans="1:12" x14ac:dyDescent="0.15">
      <c r="A44" s="2" t="s">
        <v>32</v>
      </c>
      <c r="B44" s="9" t="s">
        <v>25</v>
      </c>
      <c r="C44" s="9" t="s">
        <v>42</v>
      </c>
      <c r="D44" s="9">
        <f>D26*2625.5</f>
        <v>-86.84684823148956</v>
      </c>
      <c r="E44" s="9">
        <f t="shared" ref="E44:L44" si="0">E26*2625.5</f>
        <v>-86.045478418684866</v>
      </c>
      <c r="F44" s="9">
        <f t="shared" si="0"/>
        <v>-86.353169427833507</v>
      </c>
      <c r="G44" s="9">
        <f t="shared" si="0"/>
        <v>-86.764607594510181</v>
      </c>
      <c r="H44" s="9">
        <f t="shared" si="0"/>
        <v>0</v>
      </c>
      <c r="I44" s="9">
        <f t="shared" si="0"/>
        <v>-97.62802946122406</v>
      </c>
      <c r="J44" s="9">
        <f t="shared" si="0"/>
        <v>-87.180290144642157</v>
      </c>
      <c r="K44" s="9">
        <f t="shared" si="0"/>
        <v>-89.10756731589467</v>
      </c>
      <c r="L44" s="10">
        <f t="shared" si="0"/>
        <v>-90.26307899328728</v>
      </c>
    </row>
    <row r="45" spans="1:12" x14ac:dyDescent="0.15">
      <c r="A45" s="2"/>
      <c r="B45" s="9"/>
      <c r="C45" s="9" t="s">
        <v>43</v>
      </c>
      <c r="D45" s="9">
        <f t="shared" ref="D45:L60" si="1">D27*2625.5</f>
        <v>-14.27237999341353</v>
      </c>
      <c r="E45" s="9">
        <f t="shared" si="1"/>
        <v>-14.135479071823511</v>
      </c>
      <c r="F45" s="9">
        <f>F27*2625.5</f>
        <v>-14.372875731845632</v>
      </c>
      <c r="G45" s="9">
        <f t="shared" si="1"/>
        <v>-14.235851674384037</v>
      </c>
      <c r="H45" s="9">
        <f t="shared" si="1"/>
        <v>0</v>
      </c>
      <c r="I45" s="9">
        <f t="shared" si="1"/>
        <v>-19.245656966285758</v>
      </c>
      <c r="J45" s="9">
        <f t="shared" si="1"/>
        <v>-16.724608283006141</v>
      </c>
      <c r="K45" s="9">
        <f t="shared" si="1"/>
        <v>-16.965705816084672</v>
      </c>
      <c r="L45" s="10">
        <f t="shared" si="1"/>
        <v>-17.557113637785896</v>
      </c>
    </row>
    <row r="46" spans="1:12" x14ac:dyDescent="0.15">
      <c r="A46" s="2"/>
      <c r="B46" s="9"/>
      <c r="C46" s="9"/>
      <c r="D46" s="9"/>
      <c r="E46" s="9"/>
      <c r="F46" s="9"/>
      <c r="G46" s="9"/>
      <c r="H46" s="9"/>
      <c r="I46" s="9"/>
      <c r="J46" s="9"/>
      <c r="K46" s="9"/>
      <c r="L46" s="10"/>
    </row>
    <row r="47" spans="1:12" x14ac:dyDescent="0.15">
      <c r="A47" s="2"/>
      <c r="B47" s="9" t="s">
        <v>26</v>
      </c>
      <c r="C47" s="9" t="s">
        <v>42</v>
      </c>
      <c r="D47" s="9">
        <f t="shared" si="1"/>
        <v>-158.32004419363824</v>
      </c>
      <c r="E47" s="9">
        <f t="shared" si="1"/>
        <v>-158.22904252546434</v>
      </c>
      <c r="F47" s="9">
        <f t="shared" si="1"/>
        <v>-160.16125903432993</v>
      </c>
      <c r="G47" s="9">
        <f t="shared" si="1"/>
        <v>-161.07795629762666</v>
      </c>
      <c r="H47" s="9">
        <f t="shared" si="1"/>
        <v>0</v>
      </c>
      <c r="I47" s="9">
        <f t="shared" si="1"/>
        <v>-149.91889341670301</v>
      </c>
      <c r="J47" s="9">
        <f t="shared" si="1"/>
        <v>-157.98142820726818</v>
      </c>
      <c r="K47" s="9">
        <f t="shared" si="1"/>
        <v>-161.07871697835958</v>
      </c>
      <c r="L47" s="10">
        <f t="shared" si="1"/>
        <v>-160.84223050588682</v>
      </c>
    </row>
    <row r="48" spans="1:12" x14ac:dyDescent="0.15">
      <c r="A48" s="2"/>
      <c r="B48" s="9"/>
      <c r="C48" s="9" t="s">
        <v>43</v>
      </c>
      <c r="D48" s="9">
        <f t="shared" si="1"/>
        <v>8.4732706365167019</v>
      </c>
      <c r="E48" s="9">
        <f t="shared" si="1"/>
        <v>8.6955286631630457</v>
      </c>
      <c r="F48" s="9">
        <f t="shared" si="1"/>
        <v>8.6356748770344183</v>
      </c>
      <c r="G48" s="9">
        <f t="shared" si="1"/>
        <v>7.7748734587598847</v>
      </c>
      <c r="H48" s="9">
        <f t="shared" si="1"/>
        <v>0</v>
      </c>
      <c r="I48" s="9">
        <f t="shared" si="1"/>
        <v>-2.5129316873863274</v>
      </c>
      <c r="J48" s="9">
        <f t="shared" si="1"/>
        <v>3.592314907639917</v>
      </c>
      <c r="K48" s="9">
        <f t="shared" si="1"/>
        <v>4.581858335652953</v>
      </c>
      <c r="L48" s="10">
        <f t="shared" si="1"/>
        <v>3.8252815614020079</v>
      </c>
    </row>
    <row r="49" spans="1:14" x14ac:dyDescent="0.15">
      <c r="A49" s="2"/>
      <c r="B49" s="9"/>
      <c r="C49" s="9"/>
      <c r="D49" s="9">
        <f t="shared" si="1"/>
        <v>0</v>
      </c>
      <c r="E49" s="9">
        <f t="shared" si="1"/>
        <v>0</v>
      </c>
      <c r="F49" s="9">
        <f t="shared" si="1"/>
        <v>0</v>
      </c>
      <c r="G49" s="9">
        <f t="shared" si="1"/>
        <v>0</v>
      </c>
      <c r="H49" s="9">
        <f t="shared" si="1"/>
        <v>0</v>
      </c>
      <c r="I49" s="9">
        <f t="shared" si="1"/>
        <v>0</v>
      </c>
      <c r="J49" s="9">
        <f t="shared" si="1"/>
        <v>0</v>
      </c>
      <c r="K49" s="9">
        <f t="shared" si="1"/>
        <v>0</v>
      </c>
      <c r="L49" s="10">
        <f t="shared" si="1"/>
        <v>0</v>
      </c>
    </row>
    <row r="50" spans="1:14" x14ac:dyDescent="0.15">
      <c r="A50" s="2"/>
      <c r="B50" s="9" t="s">
        <v>28</v>
      </c>
      <c r="C50" s="9" t="s">
        <v>42</v>
      </c>
      <c r="D50" s="9">
        <f t="shared" si="1"/>
        <v>-68.434078367780444</v>
      </c>
      <c r="E50" s="9">
        <f t="shared" si="1"/>
        <v>-67.683868785382032</v>
      </c>
      <c r="F50" s="9">
        <f t="shared" si="1"/>
        <v>-67.836326319348132</v>
      </c>
      <c r="G50" s="9">
        <f t="shared" si="1"/>
        <v>-69.444424327907825</v>
      </c>
      <c r="H50" s="9">
        <f t="shared" si="1"/>
        <v>0</v>
      </c>
      <c r="I50" s="9">
        <f t="shared" si="1"/>
        <v>-82.357190721477963</v>
      </c>
      <c r="J50" s="9">
        <f t="shared" si="1"/>
        <v>-73.366338729267653</v>
      </c>
      <c r="K50" s="9">
        <f t="shared" si="1"/>
        <v>-73.789973165258573</v>
      </c>
      <c r="L50" s="10">
        <f t="shared" si="1"/>
        <v>-75.02960873252826</v>
      </c>
    </row>
    <row r="51" spans="1:14" x14ac:dyDescent="0.15">
      <c r="A51" s="2"/>
      <c r="B51" s="9"/>
      <c r="C51" s="9" t="s">
        <v>43</v>
      </c>
      <c r="D51" s="9">
        <f t="shared" si="1"/>
        <v>12.496467638635124</v>
      </c>
      <c r="E51" s="9">
        <f t="shared" si="1"/>
        <v>13.149532145950687</v>
      </c>
      <c r="F51" s="9">
        <f t="shared" si="1"/>
        <v>13.06960273652804</v>
      </c>
      <c r="G51" s="9">
        <f t="shared" si="1"/>
        <v>11.931292006734395</v>
      </c>
      <c r="H51" s="9">
        <f t="shared" si="1"/>
        <v>0</v>
      </c>
      <c r="I51" s="9">
        <f t="shared" si="1"/>
        <v>-1.0665965100750157</v>
      </c>
      <c r="J51" s="9">
        <f t="shared" si="1"/>
        <v>5.1790673386137485</v>
      </c>
      <c r="K51" s="9">
        <f t="shared" si="1"/>
        <v>7.6494633900612712</v>
      </c>
      <c r="L51" s="10">
        <f t="shared" si="1"/>
        <v>6.9426597969749793</v>
      </c>
    </row>
    <row r="52" spans="1:14" x14ac:dyDescent="0.15">
      <c r="A52" s="2"/>
      <c r="B52" s="9"/>
      <c r="C52" s="9"/>
      <c r="D52" s="9">
        <f t="shared" si="1"/>
        <v>0</v>
      </c>
      <c r="E52" s="9">
        <f t="shared" si="1"/>
        <v>0</v>
      </c>
      <c r="F52" s="9">
        <f t="shared" si="1"/>
        <v>0</v>
      </c>
      <c r="G52" s="9">
        <f t="shared" si="1"/>
        <v>0</v>
      </c>
      <c r="H52" s="9">
        <f t="shared" si="1"/>
        <v>0</v>
      </c>
      <c r="I52" s="9">
        <f t="shared" si="1"/>
        <v>0</v>
      </c>
      <c r="J52" s="9">
        <f t="shared" si="1"/>
        <v>0</v>
      </c>
      <c r="K52" s="9">
        <f t="shared" si="1"/>
        <v>0</v>
      </c>
      <c r="L52" s="10">
        <f t="shared" si="1"/>
        <v>0</v>
      </c>
    </row>
    <row r="53" spans="1:14" x14ac:dyDescent="0.15">
      <c r="A53" s="2"/>
      <c r="B53" s="9" t="s">
        <v>27</v>
      </c>
      <c r="C53" s="9" t="s">
        <v>42</v>
      </c>
      <c r="D53" s="9">
        <f t="shared" si="1"/>
        <v>-33.4106198779956</v>
      </c>
      <c r="E53" s="9">
        <f t="shared" si="1"/>
        <v>-32.841391786719441</v>
      </c>
      <c r="F53" s="9">
        <f t="shared" si="1"/>
        <v>-32.760537939299923</v>
      </c>
      <c r="G53" s="9">
        <f t="shared" si="1"/>
        <v>-32.66156630346876</v>
      </c>
      <c r="H53" s="9">
        <f t="shared" si="1"/>
        <v>0</v>
      </c>
      <c r="I53" s="9">
        <f t="shared" si="1"/>
        <v>-43.659780027480792</v>
      </c>
      <c r="J53" s="9">
        <f t="shared" si="1"/>
        <v>-34.185974399115707</v>
      </c>
      <c r="K53" s="9">
        <f t="shared" si="1"/>
        <v>-33.886791493431417</v>
      </c>
      <c r="L53" s="10">
        <f t="shared" si="1"/>
        <v>-34.671744934159733</v>
      </c>
    </row>
    <row r="54" spans="1:14" x14ac:dyDescent="0.15">
      <c r="A54" s="2"/>
      <c r="B54" s="9"/>
      <c r="C54" s="9" t="s">
        <v>43</v>
      </c>
      <c r="D54" s="9">
        <f t="shared" si="1"/>
        <v>77.517735483578292</v>
      </c>
      <c r="E54" s="9">
        <f t="shared" si="1"/>
        <v>77.017377670483938</v>
      </c>
      <c r="F54" s="9">
        <f t="shared" si="1"/>
        <v>77.036263154319613</v>
      </c>
      <c r="G54" s="9">
        <f t="shared" si="1"/>
        <v>77.531837831593919</v>
      </c>
      <c r="H54" s="9">
        <f t="shared" si="1"/>
        <v>0</v>
      </c>
      <c r="I54" s="9">
        <f t="shared" si="1"/>
        <v>74.08061650639786</v>
      </c>
      <c r="J54" s="9">
        <f t="shared" si="1"/>
        <v>73.153337690363799</v>
      </c>
      <c r="K54" s="9">
        <f t="shared" si="1"/>
        <v>75.719782397705728</v>
      </c>
      <c r="L54" s="10">
        <f t="shared" si="1"/>
        <v>75.692847577166333</v>
      </c>
    </row>
    <row r="55" spans="1:14" x14ac:dyDescent="0.15">
      <c r="A55" s="2"/>
      <c r="B55" s="9"/>
      <c r="C55" s="9"/>
      <c r="D55" s="9">
        <f t="shared" si="1"/>
        <v>0</v>
      </c>
      <c r="E55" s="9">
        <f t="shared" si="1"/>
        <v>0</v>
      </c>
      <c r="F55" s="9">
        <f t="shared" si="1"/>
        <v>0</v>
      </c>
      <c r="G55" s="9">
        <f t="shared" si="1"/>
        <v>0</v>
      </c>
      <c r="H55" s="9">
        <f t="shared" si="1"/>
        <v>0</v>
      </c>
      <c r="I55" s="9">
        <f t="shared" si="1"/>
        <v>0</v>
      </c>
      <c r="J55" s="9">
        <f t="shared" si="1"/>
        <v>0</v>
      </c>
      <c r="K55" s="9">
        <f t="shared" si="1"/>
        <v>0</v>
      </c>
      <c r="L55" s="10">
        <f t="shared" si="1"/>
        <v>0</v>
      </c>
    </row>
    <row r="56" spans="1:14" x14ac:dyDescent="0.15">
      <c r="A56" s="2"/>
      <c r="B56" s="9" t="s">
        <v>30</v>
      </c>
      <c r="C56" s="9" t="s">
        <v>42</v>
      </c>
      <c r="D56" s="9">
        <f t="shared" si="1"/>
        <v>-35.442132534090135</v>
      </c>
      <c r="E56" s="9">
        <f t="shared" si="1"/>
        <v>-25.636668494949319</v>
      </c>
      <c r="F56" s="9">
        <f t="shared" si="1"/>
        <v>-25.466721717967189</v>
      </c>
      <c r="G56" s="9">
        <f t="shared" si="1"/>
        <v>-31.191190735111306</v>
      </c>
      <c r="H56" s="9">
        <f t="shared" si="1"/>
        <v>0</v>
      </c>
      <c r="I56" s="9">
        <f t="shared" si="1"/>
        <v>-74.054006013688095</v>
      </c>
      <c r="J56" s="9">
        <f t="shared" si="1"/>
        <v>-24.994725868362437</v>
      </c>
      <c r="K56" s="9">
        <f t="shared" si="1"/>
        <v>-26.320548369341154</v>
      </c>
      <c r="L56" s="10">
        <f t="shared" si="1"/>
        <v>-27.875818293610195</v>
      </c>
    </row>
    <row r="57" spans="1:14" x14ac:dyDescent="0.15">
      <c r="A57" s="2"/>
      <c r="B57" s="9"/>
      <c r="C57" s="9" t="s">
        <v>43</v>
      </c>
      <c r="D57" s="9">
        <f t="shared" si="1"/>
        <v>1.6789920222156667</v>
      </c>
      <c r="E57" s="9">
        <f t="shared" si="1"/>
        <v>8.3010149946715188</v>
      </c>
      <c r="F57" s="9">
        <f t="shared" si="1"/>
        <v>8.3999679890826968</v>
      </c>
      <c r="G57" s="9">
        <f t="shared" si="1"/>
        <v>3.7822769213830867</v>
      </c>
      <c r="H57" s="9">
        <f t="shared" si="1"/>
        <v>0</v>
      </c>
      <c r="I57" s="9">
        <f t="shared" si="1"/>
        <v>-23.807765411554172</v>
      </c>
      <c r="J57" s="9">
        <f t="shared" si="1"/>
        <v>6.8133867409282374</v>
      </c>
      <c r="K57" s="9">
        <f t="shared" si="1"/>
        <v>7.5507889005421163</v>
      </c>
      <c r="L57" s="10">
        <f t="shared" si="1"/>
        <v>6.8510965348129673</v>
      </c>
    </row>
    <row r="58" spans="1:14" x14ac:dyDescent="0.15">
      <c r="A58" s="2"/>
      <c r="B58" s="9"/>
      <c r="C58" s="9"/>
      <c r="D58" s="9">
        <f t="shared" si="1"/>
        <v>0</v>
      </c>
      <c r="E58" s="9">
        <f t="shared" si="1"/>
        <v>0</v>
      </c>
      <c r="F58" s="9">
        <f t="shared" si="1"/>
        <v>0</v>
      </c>
      <c r="G58" s="9">
        <f t="shared" si="1"/>
        <v>0</v>
      </c>
      <c r="H58" s="9">
        <f t="shared" si="1"/>
        <v>0</v>
      </c>
      <c r="I58" s="9">
        <f t="shared" si="1"/>
        <v>0</v>
      </c>
      <c r="J58" s="9">
        <f t="shared" si="1"/>
        <v>0</v>
      </c>
      <c r="K58" s="9">
        <f t="shared" si="1"/>
        <v>0</v>
      </c>
      <c r="L58" s="10">
        <f t="shared" si="1"/>
        <v>0</v>
      </c>
    </row>
    <row r="59" spans="1:14" x14ac:dyDescent="0.15">
      <c r="A59" s="2"/>
      <c r="B59" s="9" t="s">
        <v>31</v>
      </c>
      <c r="C59" s="9" t="s">
        <v>42</v>
      </c>
      <c r="D59" s="9">
        <f>D41*2625.5</f>
        <v>52.173854609669036</v>
      </c>
      <c r="E59" s="9">
        <f t="shared" ref="E59:L59" si="2">E41*2625.5</f>
        <v>49.9035784584471</v>
      </c>
      <c r="F59" s="9">
        <f t="shared" si="2"/>
        <v>49.806032994296629</v>
      </c>
      <c r="G59" s="9">
        <f t="shared" si="2"/>
        <v>49.544525842918233</v>
      </c>
      <c r="H59" s="9">
        <f t="shared" si="2"/>
        <v>0</v>
      </c>
      <c r="I59" s="9">
        <f t="shared" si="2"/>
        <v>75.04077209585256</v>
      </c>
      <c r="J59" s="9">
        <f t="shared" si="2"/>
        <v>56.878441063090861</v>
      </c>
      <c r="K59" s="9">
        <f t="shared" si="2"/>
        <v>52.862681666227388</v>
      </c>
      <c r="L59" s="10">
        <f t="shared" si="2"/>
        <v>50.666095596968603</v>
      </c>
    </row>
    <row r="60" spans="1:14" ht="15" thickBot="1" x14ac:dyDescent="0.2">
      <c r="A60" s="3"/>
      <c r="B60" s="11"/>
      <c r="C60" s="11" t="s">
        <v>43</v>
      </c>
      <c r="D60" s="11">
        <f t="shared" si="1"/>
        <v>27.810818264911518</v>
      </c>
      <c r="E60" s="11">
        <f t="shared" si="1"/>
        <v>28.079574421839368</v>
      </c>
      <c r="F60" s="11">
        <f t="shared" si="1"/>
        <v>28.106794818300898</v>
      </c>
      <c r="G60" s="11">
        <f t="shared" si="1"/>
        <v>27.604071692018863</v>
      </c>
      <c r="H60" s="11">
        <f t="shared" si="1"/>
        <v>0</v>
      </c>
      <c r="I60" s="11">
        <f t="shared" si="1"/>
        <v>39.85897574006259</v>
      </c>
      <c r="J60" s="11">
        <f t="shared" si="1"/>
        <v>32.937418136696067</v>
      </c>
      <c r="K60" s="11">
        <f t="shared" si="1"/>
        <v>28.98459551404369</v>
      </c>
      <c r="L60" s="12">
        <f t="shared" si="1"/>
        <v>27.327402540867752</v>
      </c>
    </row>
    <row r="62" spans="1:14" ht="15" thickBot="1" x14ac:dyDescent="0.2">
      <c r="B62" s="1" t="s">
        <v>54</v>
      </c>
    </row>
    <row r="63" spans="1:14" ht="16" x14ac:dyDescent="0.15">
      <c r="A63" s="9"/>
      <c r="B63" s="6" t="s">
        <v>45</v>
      </c>
      <c r="C63" s="7" t="s">
        <v>44</v>
      </c>
      <c r="D63" s="7">
        <v>1</v>
      </c>
      <c r="E63" s="7">
        <v>2</v>
      </c>
      <c r="F63" s="7">
        <v>3</v>
      </c>
      <c r="G63" s="7">
        <v>4</v>
      </c>
      <c r="H63" s="7">
        <v>5</v>
      </c>
      <c r="I63" s="7">
        <v>6</v>
      </c>
      <c r="J63" s="7"/>
      <c r="K63" s="8" t="s">
        <v>33</v>
      </c>
      <c r="L63" s="9"/>
      <c r="M63" s="19"/>
      <c r="N63" s="18"/>
    </row>
    <row r="64" spans="1:14" ht="16" x14ac:dyDescent="0.15">
      <c r="A64" s="9"/>
      <c r="B64" s="24" t="s">
        <v>46</v>
      </c>
      <c r="C64" s="9">
        <v>136</v>
      </c>
      <c r="D64" s="21">
        <f>I44</f>
        <v>-97.62802946122406</v>
      </c>
      <c r="E64" s="21">
        <f>I47</f>
        <v>-149.91889341670301</v>
      </c>
      <c r="F64" s="21">
        <f>I50</f>
        <v>-82.357190721477963</v>
      </c>
      <c r="G64" s="21">
        <f>I53</f>
        <v>-43.659780027480792</v>
      </c>
      <c r="H64" s="21">
        <f>I56</f>
        <v>-74.054006013688095</v>
      </c>
      <c r="I64" s="21">
        <f>I59</f>
        <v>75.04077209585256</v>
      </c>
      <c r="J64" s="9"/>
      <c r="K64" s="10"/>
      <c r="L64" s="9"/>
      <c r="M64" s="19"/>
      <c r="N64" s="18"/>
    </row>
    <row r="65" spans="1:18" ht="16" x14ac:dyDescent="0.15">
      <c r="A65" s="9"/>
      <c r="B65" s="24" t="s">
        <v>47</v>
      </c>
      <c r="C65" s="9">
        <v>232</v>
      </c>
      <c r="D65" s="21">
        <f>J44</f>
        <v>-87.180290144642157</v>
      </c>
      <c r="E65" s="21">
        <f>J47</f>
        <v>-157.98142820726818</v>
      </c>
      <c r="F65" s="21">
        <f>J50</f>
        <v>-73.366338729267653</v>
      </c>
      <c r="G65" s="21">
        <f>J53</f>
        <v>-34.185974399115707</v>
      </c>
      <c r="H65" s="21">
        <f>J56</f>
        <v>-24.994725868362437</v>
      </c>
      <c r="I65" s="21">
        <f>J59</f>
        <v>56.878441063090861</v>
      </c>
      <c r="J65" s="9"/>
      <c r="K65" s="10"/>
      <c r="L65" s="9"/>
      <c r="M65" s="20"/>
      <c r="N65" s="18"/>
    </row>
    <row r="66" spans="1:18" ht="16" x14ac:dyDescent="0.15">
      <c r="A66" s="9"/>
      <c r="B66" s="24" t="s">
        <v>48</v>
      </c>
      <c r="C66" s="9">
        <v>352</v>
      </c>
      <c r="D66" s="21">
        <f>K44</f>
        <v>-89.10756731589467</v>
      </c>
      <c r="E66" s="21">
        <f>K47</f>
        <v>-161.07871697835958</v>
      </c>
      <c r="F66" s="21">
        <f>K50</f>
        <v>-73.789973165258573</v>
      </c>
      <c r="G66" s="21">
        <f>K53</f>
        <v>-33.886791493431417</v>
      </c>
      <c r="H66" s="21">
        <f>K56</f>
        <v>-26.320548369341154</v>
      </c>
      <c r="I66" s="21">
        <f>K59</f>
        <v>52.862681666227388</v>
      </c>
      <c r="J66" s="9"/>
      <c r="K66" s="14"/>
      <c r="L66" s="9"/>
      <c r="M66" s="20"/>
      <c r="N66" s="18"/>
    </row>
    <row r="67" spans="1:18" ht="16" x14ac:dyDescent="0.15">
      <c r="A67" s="9"/>
      <c r="B67" s="24" t="s">
        <v>49</v>
      </c>
      <c r="C67" s="9">
        <v>392</v>
      </c>
      <c r="D67" s="21">
        <f>L44</f>
        <v>-90.26307899328728</v>
      </c>
      <c r="E67" s="21">
        <f>L47</f>
        <v>-160.84223050588682</v>
      </c>
      <c r="F67" s="21">
        <f>L50</f>
        <v>-75.02960873252826</v>
      </c>
      <c r="G67" s="21">
        <f>L53</f>
        <v>-34.671744934159733</v>
      </c>
      <c r="H67" s="21">
        <f>L56</f>
        <v>-27.875818293610195</v>
      </c>
      <c r="I67" s="21">
        <f>L59</f>
        <v>50.666095596968603</v>
      </c>
      <c r="J67" s="9"/>
      <c r="K67" s="10"/>
      <c r="L67" s="9"/>
      <c r="M67" s="20"/>
      <c r="N67" s="18"/>
    </row>
    <row r="68" spans="1:18" ht="16" x14ac:dyDescent="0.15">
      <c r="A68" s="9"/>
      <c r="B68" s="24" t="s">
        <v>50</v>
      </c>
      <c r="C68" s="9">
        <v>296</v>
      </c>
      <c r="D68" s="21">
        <f>D44</f>
        <v>-86.84684823148956</v>
      </c>
      <c r="E68" s="21">
        <f>D47</f>
        <v>-158.32004419363824</v>
      </c>
      <c r="F68" s="21">
        <f>D50</f>
        <v>-68.434078367780444</v>
      </c>
      <c r="G68" s="21">
        <f>D53</f>
        <v>-33.4106198779956</v>
      </c>
      <c r="H68" s="21">
        <f>D56</f>
        <v>-35.442132534090135</v>
      </c>
      <c r="I68" s="21">
        <f>D59</f>
        <v>52.173854609669036</v>
      </c>
      <c r="J68" s="9"/>
      <c r="K68" s="10"/>
      <c r="L68" s="9"/>
      <c r="M68" s="20"/>
      <c r="N68" s="18"/>
    </row>
    <row r="69" spans="1:18" ht="16" x14ac:dyDescent="0.15">
      <c r="A69" s="9"/>
      <c r="B69" s="24" t="s">
        <v>51</v>
      </c>
      <c r="C69" s="9">
        <v>371</v>
      </c>
      <c r="D69" s="21">
        <f>E44</f>
        <v>-86.045478418684866</v>
      </c>
      <c r="E69" s="21">
        <f>E47</f>
        <v>-158.22904252546434</v>
      </c>
      <c r="F69" s="21">
        <f>E50</f>
        <v>-67.683868785382032</v>
      </c>
      <c r="G69" s="21">
        <f>E53</f>
        <v>-32.841391786719441</v>
      </c>
      <c r="H69" s="21">
        <f>E56</f>
        <v>-25.636668494949319</v>
      </c>
      <c r="I69" s="21">
        <f>E59</f>
        <v>49.9035784584471</v>
      </c>
      <c r="J69" s="9"/>
      <c r="K69" s="10"/>
      <c r="L69" s="9"/>
      <c r="M69" s="20"/>
      <c r="N69" s="18"/>
    </row>
    <row r="70" spans="1:18" ht="16" x14ac:dyDescent="0.15">
      <c r="A70" s="9"/>
      <c r="B70" s="24" t="s">
        <v>52</v>
      </c>
      <c r="C70" s="9">
        <v>435</v>
      </c>
      <c r="D70" s="21">
        <f>F44</f>
        <v>-86.353169427833507</v>
      </c>
      <c r="E70" s="21">
        <f>F47</f>
        <v>-160.16125903432993</v>
      </c>
      <c r="F70" s="21">
        <f>F50</f>
        <v>-67.836326319348132</v>
      </c>
      <c r="G70" s="21">
        <f>F53</f>
        <v>-32.760537939299923</v>
      </c>
      <c r="H70" s="21">
        <f>F56</f>
        <v>-25.466721717967189</v>
      </c>
      <c r="I70" s="21">
        <f>F59</f>
        <v>49.806032994296629</v>
      </c>
      <c r="J70" s="9"/>
      <c r="K70" s="10"/>
      <c r="L70" s="9"/>
      <c r="M70" s="20"/>
      <c r="N70" s="18"/>
    </row>
    <row r="71" spans="1:18" ht="16" x14ac:dyDescent="0.15">
      <c r="A71" s="9"/>
      <c r="B71" s="24" t="s">
        <v>53</v>
      </c>
      <c r="C71" s="9">
        <v>696</v>
      </c>
      <c r="D71" s="21">
        <f>G44</f>
        <v>-86.764607594510181</v>
      </c>
      <c r="E71" s="21">
        <f>G47</f>
        <v>-161.07795629762666</v>
      </c>
      <c r="F71" s="21">
        <f>G50</f>
        <v>-69.444424327907825</v>
      </c>
      <c r="G71" s="21">
        <f>G53</f>
        <v>-32.66156630346876</v>
      </c>
      <c r="H71" s="21">
        <f>G56</f>
        <v>-31.191190735111306</v>
      </c>
      <c r="I71" s="21">
        <f>G59</f>
        <v>49.544525842918233</v>
      </c>
      <c r="J71" s="9"/>
      <c r="K71" s="10"/>
      <c r="L71" s="9"/>
      <c r="M71" s="20"/>
      <c r="N71" s="18"/>
    </row>
    <row r="72" spans="1:18" ht="16" x14ac:dyDescent="0.15">
      <c r="A72" s="9"/>
      <c r="B72" s="2"/>
      <c r="C72" s="9"/>
      <c r="D72" s="9"/>
      <c r="E72" s="9"/>
      <c r="F72" s="9"/>
      <c r="G72" s="9"/>
      <c r="H72" s="9"/>
      <c r="I72" s="9"/>
      <c r="J72" s="9"/>
      <c r="K72" s="10"/>
      <c r="L72" s="9"/>
      <c r="M72" s="20"/>
      <c r="N72" s="18"/>
    </row>
    <row r="73" spans="1:18" x14ac:dyDescent="0.15">
      <c r="A73" s="9"/>
      <c r="B73" s="2"/>
      <c r="C73" s="9"/>
      <c r="D73" s="9"/>
      <c r="E73" s="9"/>
      <c r="F73" s="9"/>
      <c r="G73" s="9"/>
      <c r="H73" s="9"/>
      <c r="I73" s="9"/>
      <c r="J73" s="9"/>
      <c r="K73" s="10"/>
      <c r="L73" s="9"/>
    </row>
    <row r="74" spans="1:18" x14ac:dyDescent="0.15">
      <c r="A74" s="9"/>
      <c r="B74" s="2"/>
      <c r="C74" s="22" t="s">
        <v>34</v>
      </c>
      <c r="D74" s="23">
        <f>ABS(D67-D66)</f>
        <v>1.1555116773926102</v>
      </c>
      <c r="E74" s="23">
        <f t="shared" ref="E74:I74" si="3">ABS(E67-E66)</f>
        <v>0.23648647247276244</v>
      </c>
      <c r="F74" s="23">
        <f t="shared" si="3"/>
        <v>1.239635567269687</v>
      </c>
      <c r="G74" s="23">
        <f t="shared" si="3"/>
        <v>0.78495344072831585</v>
      </c>
      <c r="H74" s="23">
        <f t="shared" si="3"/>
        <v>1.5552699242690409</v>
      </c>
      <c r="I74" s="23">
        <f t="shared" si="3"/>
        <v>2.1965860692587853</v>
      </c>
      <c r="J74" s="23">
        <f>AVERAGE(D74:I74)</f>
        <v>1.194740525231867</v>
      </c>
      <c r="K74" s="15">
        <f>STDEV(D74:I74)</f>
        <v>0.66684431364663233</v>
      </c>
      <c r="L74" s="9"/>
    </row>
    <row r="75" spans="1:18" ht="15" thickBot="1" x14ac:dyDescent="0.2">
      <c r="A75" s="9"/>
      <c r="B75" s="3"/>
      <c r="C75" s="25" t="s">
        <v>35</v>
      </c>
      <c r="D75" s="16">
        <f>ABS(D71-D66)</f>
        <v>2.3429597213844886</v>
      </c>
      <c r="E75" s="16">
        <f t="shared" ref="E75:I75" si="4">ABS(E71-E66)</f>
        <v>7.6068073292390181E-4</v>
      </c>
      <c r="F75" s="16">
        <f t="shared" si="4"/>
        <v>4.3455488373507478</v>
      </c>
      <c r="G75" s="16">
        <f t="shared" si="4"/>
        <v>1.2252251899626572</v>
      </c>
      <c r="H75" s="16">
        <f t="shared" si="4"/>
        <v>4.8706423657701521</v>
      </c>
      <c r="I75" s="16">
        <f t="shared" si="4"/>
        <v>3.318155823309155</v>
      </c>
      <c r="J75" s="16">
        <f>AVERAGE(D75:I75)</f>
        <v>2.6838821030850206</v>
      </c>
      <c r="K75" s="17">
        <f>STDEV(D75:I75)</f>
        <v>1.8648543408009</v>
      </c>
      <c r="L75" s="9"/>
    </row>
    <row r="76" spans="1:18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8" ht="15" thickBot="1" x14ac:dyDescent="0.2">
      <c r="A77" s="9"/>
      <c r="B77" s="1" t="s">
        <v>55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8" x14ac:dyDescent="0.15">
      <c r="A78" s="9"/>
      <c r="B78" s="6"/>
      <c r="C78" s="7" t="s">
        <v>36</v>
      </c>
      <c r="D78" s="7">
        <v>1</v>
      </c>
      <c r="E78" s="7">
        <v>2</v>
      </c>
      <c r="F78" s="7">
        <v>3</v>
      </c>
      <c r="G78" s="7">
        <v>4</v>
      </c>
      <c r="H78" s="7">
        <v>5</v>
      </c>
      <c r="I78" s="7">
        <v>6</v>
      </c>
      <c r="J78" s="7"/>
      <c r="K78" s="8" t="s">
        <v>33</v>
      </c>
      <c r="L78" s="9"/>
    </row>
    <row r="79" spans="1:18" x14ac:dyDescent="0.15">
      <c r="A79" s="9"/>
      <c r="B79" s="2" t="s">
        <v>45</v>
      </c>
      <c r="C79" s="9" t="s">
        <v>44</v>
      </c>
      <c r="D79" s="21"/>
      <c r="E79" s="21"/>
      <c r="F79" s="21"/>
      <c r="G79" s="21"/>
      <c r="H79" s="21"/>
      <c r="I79" s="21"/>
      <c r="J79" s="9"/>
      <c r="K79" s="10"/>
      <c r="L79" s="9"/>
    </row>
    <row r="80" spans="1:18" ht="15" x14ac:dyDescent="0.15">
      <c r="A80" s="9"/>
      <c r="B80" s="24" t="s">
        <v>46</v>
      </c>
      <c r="C80" s="9">
        <v>136</v>
      </c>
      <c r="D80" s="21">
        <f>I45</f>
        <v>-19.245656966285758</v>
      </c>
      <c r="E80" s="21">
        <f>I48</f>
        <v>-2.5129316873863274</v>
      </c>
      <c r="F80" s="21">
        <f>I51</f>
        <v>-1.0665965100750157</v>
      </c>
      <c r="G80" s="21">
        <f>I54</f>
        <v>74.08061650639786</v>
      </c>
      <c r="H80" s="21">
        <f>I57</f>
        <v>-23.807765411554172</v>
      </c>
      <c r="I80" s="21">
        <f>I60</f>
        <v>39.85897574006259</v>
      </c>
      <c r="J80" s="9"/>
      <c r="K80" s="10"/>
      <c r="L80" s="9"/>
      <c r="M80" s="13"/>
      <c r="N80" s="13"/>
      <c r="O80" s="13"/>
      <c r="P80" s="13"/>
      <c r="Q80" s="13"/>
      <c r="R80" s="13"/>
    </row>
    <row r="81" spans="1:18" ht="15" x14ac:dyDescent="0.15">
      <c r="A81" s="9"/>
      <c r="B81" s="24" t="s">
        <v>47</v>
      </c>
      <c r="C81" s="9">
        <v>232</v>
      </c>
      <c r="D81" s="21">
        <f>J45</f>
        <v>-16.724608283006141</v>
      </c>
      <c r="E81" s="21">
        <f>J48</f>
        <v>3.592314907639917</v>
      </c>
      <c r="F81" s="21">
        <f>J51</f>
        <v>5.1790673386137485</v>
      </c>
      <c r="G81" s="21">
        <f>J54</f>
        <v>73.153337690363799</v>
      </c>
      <c r="H81" s="21">
        <f>J57</f>
        <v>6.8133867409282374</v>
      </c>
      <c r="I81" s="21">
        <f>J60</f>
        <v>32.937418136696067</v>
      </c>
      <c r="J81" s="9"/>
      <c r="K81" s="14"/>
      <c r="L81" s="9"/>
      <c r="M81" s="13"/>
      <c r="N81" s="13"/>
      <c r="O81" s="13"/>
      <c r="P81" s="13"/>
      <c r="Q81" s="13"/>
      <c r="R81" s="13"/>
    </row>
    <row r="82" spans="1:18" ht="15" x14ac:dyDescent="0.15">
      <c r="A82" s="9"/>
      <c r="B82" s="24" t="s">
        <v>48</v>
      </c>
      <c r="C82" s="9">
        <v>352</v>
      </c>
      <c r="D82" s="21">
        <f>K45</f>
        <v>-16.965705816084672</v>
      </c>
      <c r="E82" s="21">
        <f>K48</f>
        <v>4.581858335652953</v>
      </c>
      <c r="F82" s="21">
        <f>K51</f>
        <v>7.6494633900612712</v>
      </c>
      <c r="G82" s="21">
        <f>K54</f>
        <v>75.719782397705728</v>
      </c>
      <c r="H82" s="21">
        <f>K57</f>
        <v>7.5507889005421163</v>
      </c>
      <c r="I82" s="21">
        <f>K60</f>
        <v>28.98459551404369</v>
      </c>
      <c r="J82" s="9"/>
      <c r="K82" s="10"/>
      <c r="L82" s="9"/>
      <c r="M82" s="13"/>
      <c r="N82" s="13"/>
      <c r="O82" s="13"/>
      <c r="P82" s="13"/>
      <c r="Q82" s="13"/>
      <c r="R82" s="13"/>
    </row>
    <row r="83" spans="1:18" ht="15" x14ac:dyDescent="0.15">
      <c r="A83" s="9"/>
      <c r="B83" s="24" t="s">
        <v>49</v>
      </c>
      <c r="C83" s="9">
        <v>392</v>
      </c>
      <c r="D83" s="21">
        <f>L45</f>
        <v>-17.557113637785896</v>
      </c>
      <c r="E83" s="21">
        <f>L48</f>
        <v>3.8252815614020079</v>
      </c>
      <c r="F83" s="21">
        <f>L51</f>
        <v>6.9426597969749793</v>
      </c>
      <c r="G83" s="21">
        <f>L54</f>
        <v>75.692847577166333</v>
      </c>
      <c r="H83" s="21">
        <f>L57</f>
        <v>6.8510965348129673</v>
      </c>
      <c r="I83" s="21">
        <f>L60</f>
        <v>27.327402540867752</v>
      </c>
      <c r="J83" s="9"/>
      <c r="K83" s="10"/>
      <c r="L83" s="9"/>
      <c r="M83" s="13"/>
      <c r="N83" s="13"/>
      <c r="O83" s="13"/>
      <c r="P83" s="13"/>
      <c r="Q83" s="13"/>
      <c r="R83" s="13"/>
    </row>
    <row r="84" spans="1:18" ht="15" x14ac:dyDescent="0.15">
      <c r="A84" s="9"/>
      <c r="B84" s="24" t="s">
        <v>50</v>
      </c>
      <c r="C84" s="9">
        <v>296</v>
      </c>
      <c r="D84" s="21">
        <f>D45</f>
        <v>-14.27237999341353</v>
      </c>
      <c r="E84" s="21">
        <f>D48</f>
        <v>8.4732706365167019</v>
      </c>
      <c r="F84" s="21">
        <f>D51</f>
        <v>12.496467638635124</v>
      </c>
      <c r="G84" s="21">
        <f>D54</f>
        <v>77.517735483578292</v>
      </c>
      <c r="H84" s="21">
        <f>D57</f>
        <v>1.6789920222156667</v>
      </c>
      <c r="I84" s="21">
        <f>D60</f>
        <v>27.810818264911518</v>
      </c>
      <c r="J84" s="9"/>
      <c r="K84" s="10"/>
      <c r="L84" s="9"/>
      <c r="M84" s="13"/>
      <c r="N84" s="13"/>
      <c r="O84" s="13"/>
      <c r="P84" s="13"/>
      <c r="Q84" s="13"/>
      <c r="R84" s="13"/>
    </row>
    <row r="85" spans="1:18" ht="15" x14ac:dyDescent="0.15">
      <c r="A85" s="9"/>
      <c r="B85" s="24" t="s">
        <v>51</v>
      </c>
      <c r="C85" s="9">
        <v>371</v>
      </c>
      <c r="D85" s="21">
        <f>E45</f>
        <v>-14.135479071823511</v>
      </c>
      <c r="E85" s="21">
        <f>E48</f>
        <v>8.6955286631630457</v>
      </c>
      <c r="F85" s="21">
        <f>E51</f>
        <v>13.149532145950687</v>
      </c>
      <c r="G85" s="21">
        <f>E54</f>
        <v>77.017377670483938</v>
      </c>
      <c r="H85" s="21">
        <f>E57</f>
        <v>8.3010149946715188</v>
      </c>
      <c r="I85" s="21">
        <f>E60</f>
        <v>28.079574421839368</v>
      </c>
      <c r="J85" s="9"/>
      <c r="K85" s="10"/>
      <c r="L85" s="9"/>
      <c r="M85" s="13"/>
      <c r="N85" s="13"/>
      <c r="O85" s="13"/>
      <c r="P85" s="13"/>
      <c r="Q85" s="13"/>
      <c r="R85" s="13"/>
    </row>
    <row r="86" spans="1:18" ht="15" x14ac:dyDescent="0.15">
      <c r="A86" s="9"/>
      <c r="B86" s="24" t="s">
        <v>52</v>
      </c>
      <c r="C86" s="9">
        <v>435</v>
      </c>
      <c r="D86" s="21">
        <f>F45</f>
        <v>-14.372875731845632</v>
      </c>
      <c r="E86" s="21">
        <f>F48</f>
        <v>8.6356748770344183</v>
      </c>
      <c r="F86" s="21">
        <f>F51</f>
        <v>13.06960273652804</v>
      </c>
      <c r="G86" s="21">
        <f>F54</f>
        <v>77.036263154319613</v>
      </c>
      <c r="H86" s="21">
        <f>F57</f>
        <v>8.3999679890826968</v>
      </c>
      <c r="I86" s="21">
        <f>F60</f>
        <v>28.106794818300898</v>
      </c>
      <c r="J86" s="9"/>
      <c r="K86" s="10"/>
      <c r="L86" s="9"/>
      <c r="M86" s="13"/>
      <c r="N86" s="13"/>
      <c r="O86" s="13"/>
      <c r="P86" s="13"/>
      <c r="Q86" s="13"/>
      <c r="R86" s="13"/>
    </row>
    <row r="87" spans="1:18" ht="15" x14ac:dyDescent="0.15">
      <c r="A87" s="9"/>
      <c r="B87" s="24" t="s">
        <v>53</v>
      </c>
      <c r="C87" s="9">
        <v>696</v>
      </c>
      <c r="D87" s="21">
        <f>G45</f>
        <v>-14.235851674384037</v>
      </c>
      <c r="E87" s="21">
        <f>G48</f>
        <v>7.7748734587598847</v>
      </c>
      <c r="F87" s="21">
        <f>G51</f>
        <v>11.931292006734395</v>
      </c>
      <c r="G87" s="21">
        <f>G54</f>
        <v>77.531837831593919</v>
      </c>
      <c r="H87" s="21">
        <f>G57</f>
        <v>3.7822769213830867</v>
      </c>
      <c r="I87" s="21">
        <f>G60</f>
        <v>27.604071692018863</v>
      </c>
      <c r="J87" s="9"/>
      <c r="K87" s="10"/>
      <c r="L87" s="9"/>
      <c r="M87" s="13"/>
      <c r="N87" s="13"/>
      <c r="O87" s="13"/>
      <c r="P87" s="13"/>
      <c r="Q87" s="13"/>
      <c r="R87" s="13"/>
    </row>
    <row r="88" spans="1:18" x14ac:dyDescent="0.15">
      <c r="A88" s="9"/>
      <c r="B88" s="2"/>
      <c r="C88" s="9"/>
      <c r="D88" s="9"/>
      <c r="E88" s="9"/>
      <c r="F88" s="9"/>
      <c r="G88" s="9"/>
      <c r="H88" s="9"/>
      <c r="I88" s="9"/>
      <c r="J88" s="9"/>
      <c r="K88" s="10"/>
      <c r="L88" s="9"/>
    </row>
    <row r="89" spans="1:18" x14ac:dyDescent="0.15">
      <c r="A89" s="9"/>
      <c r="B89" s="2"/>
      <c r="C89" s="22" t="s">
        <v>34</v>
      </c>
      <c r="D89" s="23">
        <f>ABS(D83-D82)</f>
        <v>0.59140782170122463</v>
      </c>
      <c r="E89" s="23">
        <f t="shared" ref="D89:I89" si="5">ABS(E83-E82)</f>
        <v>0.75657677425094505</v>
      </c>
      <c r="F89" s="23">
        <f t="shared" si="5"/>
        <v>0.70680359308629193</v>
      </c>
      <c r="G89" s="23">
        <f t="shared" si="5"/>
        <v>2.6934820539395332E-2</v>
      </c>
      <c r="H89" s="23">
        <f t="shared" si="5"/>
        <v>0.69969236572914895</v>
      </c>
      <c r="I89" s="23">
        <f t="shared" si="5"/>
        <v>1.6571929731759383</v>
      </c>
      <c r="J89" s="23">
        <f>AVERAGE(D89:I89)</f>
        <v>0.73976805808049073</v>
      </c>
      <c r="K89" s="15">
        <f>STDEV(D89:I89)</f>
        <v>0.52436355882704366</v>
      </c>
      <c r="L89" s="9"/>
    </row>
    <row r="90" spans="1:18" ht="15" thickBot="1" x14ac:dyDescent="0.2">
      <c r="A90" s="9"/>
      <c r="B90" s="3"/>
      <c r="C90" s="25" t="s">
        <v>35</v>
      </c>
      <c r="D90" s="16">
        <f>ABS(D87-D82)</f>
        <v>2.7298541417006348</v>
      </c>
      <c r="E90" s="16"/>
      <c r="F90" s="16">
        <f>ABS(F87-F82)</f>
        <v>4.2818286166731241</v>
      </c>
      <c r="G90" s="16">
        <f>ABS(G87-G82)</f>
        <v>1.8120554338881902</v>
      </c>
      <c r="H90" s="16">
        <f>ABS(H87-H82)</f>
        <v>3.7685119791590296</v>
      </c>
      <c r="I90" s="16">
        <f>ABS(I87-I82)</f>
        <v>1.380523822024827</v>
      </c>
      <c r="J90" s="16">
        <f>AVERAGE(D90:I90)</f>
        <v>2.7945547986891612</v>
      </c>
      <c r="K90" s="17">
        <f>STDEV(D90:I90)</f>
        <v>1.2378964798060419</v>
      </c>
      <c r="L90" s="9"/>
    </row>
    <row r="91" spans="1:18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</sheetData>
  <mergeCells count="1">
    <mergeCell ref="M63:M6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copy_basis_test_output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Fischer</dc:creator>
  <cp:lastModifiedBy>Ari Fischer</cp:lastModifiedBy>
  <dcterms:created xsi:type="dcterms:W3CDTF">2024-11-12T09:12:45Z</dcterms:created>
  <dcterms:modified xsi:type="dcterms:W3CDTF">2025-03-31T04:20:53Z</dcterms:modified>
</cp:coreProperties>
</file>